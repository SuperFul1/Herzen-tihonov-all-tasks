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33.png" ContentType="image/png"/>
  <Override PartName="/xl/media/image34.png" ContentType="image/png"/>
  <Override PartName="/xl/media/image3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абораторная работа №8" sheetId="1" state="visible" r:id="rId2"/>
    <sheet name="Лекционная задача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<sst xmlns="http://schemas.openxmlformats.org/spreadsheetml/2006/main" count="53" uniqueCount="39">
  <si>
    <t xml:space="preserve">Начальные данные:</t>
  </si>
  <si>
    <t xml:space="preserve">y</t>
  </si>
  <si>
    <t xml:space="preserve">x</t>
  </si>
  <si>
    <t xml:space="preserve">k</t>
  </si>
  <si>
    <t xml:space="preserve">h_x</t>
  </si>
  <si>
    <t xml:space="preserve">≈</t>
  </si>
  <si>
    <t xml:space="preserve">h_y</t>
  </si>
  <si>
    <t xml:space="preserve">Таблица интервалов:</t>
  </si>
  <si>
    <t xml:space="preserve">i</t>
  </si>
  <si>
    <t xml:space="preserve">x^2</t>
  </si>
  <si>
    <t xml:space="preserve">y^2</t>
  </si>
  <si>
    <t xml:space="preserve">x*y</t>
  </si>
  <si>
    <t xml:space="preserve">y'</t>
  </si>
  <si>
    <t xml:space="preserve">y - y'</t>
  </si>
  <si>
    <t xml:space="preserve">(y-y')^2</t>
  </si>
  <si>
    <t xml:space="preserve">A</t>
  </si>
  <si>
    <t xml:space="preserve">Итого</t>
  </si>
  <si>
    <t xml:space="preserve">Среднее</t>
  </si>
  <si>
    <t xml:space="preserve">b1</t>
  </si>
  <si>
    <t xml:space="preserve">b2</t>
  </si>
  <si>
    <t xml:space="preserve">y' = 4,7743 - 0,3018*x</t>
  </si>
  <si>
    <t xml:space="preserve">Э = </t>
  </si>
  <si>
    <t xml:space="preserve">σ_x =</t>
  </si>
  <si>
    <t xml:space="preserve">t_расч =</t>
  </si>
  <si>
    <t xml:space="preserve">m_b_1 =</t>
  </si>
  <si>
    <t xml:space="preserve">σ_y =</t>
  </si>
  <si>
    <t xml:space="preserve">r =</t>
  </si>
  <si>
    <t xml:space="preserve">t_кр =</t>
  </si>
  <si>
    <t xml:space="preserve">r^2 =</t>
  </si>
  <si>
    <t xml:space="preserve">x_р =</t>
  </si>
  <si>
    <t xml:space="preserve">F_расч =</t>
  </si>
  <si>
    <t xml:space="preserve">(y')_р =</t>
  </si>
  <si>
    <t xml:space="preserve">F_кр = </t>
  </si>
  <si>
    <t xml:space="preserve">t</t>
  </si>
  <si>
    <t xml:space="preserve">t^2</t>
  </si>
  <si>
    <t xml:space="preserve">y*t</t>
  </si>
  <si>
    <t xml:space="preserve">a' =</t>
  </si>
  <si>
    <t xml:space="preserve">b =</t>
  </si>
  <si>
    <t xml:space="preserve">a =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</si>
</sst>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0"/>
    <numFmt numFmtId="167" formatCode="0.00%"/>
    <numFmt numFmtId="168" formatCode="0.000"/>
    <numFmt numFmtId="169" formatCode="0.00"/>
  </numFmts>
  <fonts count="7">
    <font>
      <sz val="11"/>
      <color rgb="FF000000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2"/>
      <charset val="1"/>
    </font>
    <font>
      <b val="true"/>
      <sz val="12"/>
      <color rgb="FF333333"/>
      <name val="Calibri"/>
      <family val="2"/>
      <charset val="1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CFFCC"/>
        <bgColor rgb="FFCCFFFF"/>
      </patternFill>
    </fill>
    <fill>
      <patternFill patternType="solid">
        <fgColor rgb="FFFF6C6C"/>
        <bgColor rgb="FFFF66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" fillId="5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C6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cap="rnd" w="1908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'Лабораторная работа №8'!$B$10:$G$10</c:f>
              <c:numCache>
                <c:formatCode>General</c:formatCode>
                <c:ptCount val="6"/>
                <c:pt idx="0">
                  <c:v>33</c:v>
                </c:pt>
                <c:pt idx="1">
                  <c:v>49</c:v>
                </c:pt>
                <c:pt idx="2">
                  <c:v>65</c:v>
                </c:pt>
                <c:pt idx="3">
                  <c:v>81</c:v>
                </c:pt>
                <c:pt idx="4">
                  <c:v>97</c:v>
                </c:pt>
                <c:pt idx="5">
                  <c:v>113</c:v>
                </c:pt>
              </c:numCache>
            </c:numRef>
          </c:xVal>
          <c:yVal>
            <c:numRef>
              <c:f>'Лабораторная работа №8'!$B$11:$G$11</c:f>
              <c:numCache>
                <c:formatCode>General</c:formatCode>
                <c:ptCount val="6"/>
                <c:pt idx="0">
                  <c:v>13</c:v>
                </c:pt>
                <c:pt idx="1">
                  <c:v>18</c:v>
                </c:pt>
                <c:pt idx="2">
                  <c:v>23</c:v>
                </c:pt>
                <c:pt idx="3">
                  <c:v>28</c:v>
                </c:pt>
                <c:pt idx="4">
                  <c:v>33</c:v>
                </c:pt>
                <c:pt idx="5">
                  <c:v>38</c:v>
                </c:pt>
              </c:numCache>
            </c:numRef>
          </c:yVal>
          <c:smooth val="1"/>
        </c:ser>
        <c:axId val="91420225"/>
        <c:axId val="24326200"/>
      </c:scatterChart>
      <c:valAx>
        <c:axId val="91420225"/>
        <c:scaling>
          <c:orientation val="minMax"/>
          <c:min val="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326200"/>
        <c:crosses val="autoZero"/>
        <c:crossBetween val="midCat"/>
      </c:valAx>
      <c:valAx>
        <c:axId val="24326200"/>
        <c:scaling>
          <c:orientation val="minMax"/>
          <c:min val="1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4202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663120</xdr:colOff>
      <xdr:row>3</xdr:row>
      <xdr:rowOff>187200</xdr:rowOff>
    </xdr:from>
    <xdr:to>
      <xdr:col>12</xdr:col>
      <xdr:colOff>290520</xdr:colOff>
      <xdr:row>13</xdr:row>
      <xdr:rowOff>173880</xdr:rowOff>
    </xdr:to>
    <xdr:graphicFrame>
      <xdr:nvGraphicFramePr>
        <xdr:cNvPr id="0" name="Диаграмма 1"/>
        <xdr:cNvGraphicFramePr/>
      </xdr:nvGraphicFramePr>
      <xdr:xfrm>
        <a:off x="4950720" y="758880"/>
        <a:ext cx="3665880" cy="189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54360</xdr:colOff>
      <xdr:row>42</xdr:row>
      <xdr:rowOff>7920</xdr:rowOff>
    </xdr:from>
    <xdr:to>
      <xdr:col>4</xdr:col>
      <xdr:colOff>187200</xdr:colOff>
      <xdr:row>45</xdr:row>
      <xdr:rowOff>64440</xdr:rowOff>
    </xdr:to>
    <xdr:pic>
      <xdr:nvPicPr>
        <xdr:cNvPr id="1" name="Рисунок 1" descr=""/>
        <xdr:cNvPicPr/>
      </xdr:nvPicPr>
      <xdr:blipFill>
        <a:blip r:embed="rId2"/>
        <a:stretch/>
      </xdr:blipFill>
      <xdr:spPr>
        <a:xfrm>
          <a:off x="1521360" y="8008920"/>
          <a:ext cx="1542960" cy="62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78480</xdr:colOff>
      <xdr:row>42</xdr:row>
      <xdr:rowOff>17280</xdr:rowOff>
    </xdr:from>
    <xdr:to>
      <xdr:col>10</xdr:col>
      <xdr:colOff>39240</xdr:colOff>
      <xdr:row>45</xdr:row>
      <xdr:rowOff>111960</xdr:rowOff>
    </xdr:to>
    <xdr:pic>
      <xdr:nvPicPr>
        <xdr:cNvPr id="2" name="Рисунок 5" descr=""/>
        <xdr:cNvPicPr/>
      </xdr:nvPicPr>
      <xdr:blipFill>
        <a:blip r:embed="rId3"/>
        <a:stretch/>
      </xdr:blipFill>
      <xdr:spPr>
        <a:xfrm>
          <a:off x="5712120" y="8018280"/>
          <a:ext cx="13071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46080</xdr:colOff>
      <xdr:row>49</xdr:row>
      <xdr:rowOff>7920</xdr:rowOff>
    </xdr:from>
    <xdr:to>
      <xdr:col>11</xdr:col>
      <xdr:colOff>131400</xdr:colOff>
      <xdr:row>52</xdr:row>
      <xdr:rowOff>7200</xdr:rowOff>
    </xdr:to>
    <xdr:pic>
      <xdr:nvPicPr>
        <xdr:cNvPr id="3" name="Рисунок 6" descr=""/>
        <xdr:cNvPicPr/>
      </xdr:nvPicPr>
      <xdr:blipFill>
        <a:blip r:embed="rId4"/>
        <a:stretch/>
      </xdr:blipFill>
      <xdr:spPr>
        <a:xfrm>
          <a:off x="5679720" y="9342360"/>
          <a:ext cx="2104560" cy="570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8" activeCellId="0" sqref="A38"/>
    </sheetView>
  </sheetViews>
  <sheetFormatPr defaultColWidth="8.48046875" defaultRowHeight="15" zeroHeight="false" outlineLevelRow="0" outlineLevelCol="0"/>
  <cols>
    <col collapsed="false" customWidth="false" hidden="false" outlineLevel="0" max="1" min="1" style="1" width="8.48"/>
    <col collapsed="false" customWidth="true" hidden="false" outlineLevel="0" max="2" min="2" style="1" width="10"/>
    <col collapsed="false" customWidth="false" hidden="false" outlineLevel="0" max="3" min="3" style="1" width="8.48"/>
    <col collapsed="false" customWidth="true" hidden="false" outlineLevel="0" max="4" min="4" style="1" width="9.29"/>
    <col collapsed="false" customWidth="false" hidden="false" outlineLevel="0" max="5" min="5" style="1" width="8.48"/>
    <col collapsed="false" customWidth="true" hidden="false" outlineLevel="0" max="6" min="6" style="1" width="9.29"/>
    <col collapsed="false" customWidth="false" hidden="false" outlineLevel="0" max="16384" min="7" style="1" width="8.48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4" t="n">
        <v>13.8</v>
      </c>
      <c r="C2" s="5" t="n">
        <v>13.8</v>
      </c>
      <c r="D2" s="5" t="n">
        <v>14</v>
      </c>
      <c r="E2" s="5" t="n">
        <v>22.5</v>
      </c>
      <c r="F2" s="5" t="n">
        <v>24</v>
      </c>
      <c r="G2" s="5" t="n">
        <v>28</v>
      </c>
      <c r="H2" s="5" t="n">
        <v>32</v>
      </c>
      <c r="I2" s="5" t="n">
        <v>20.9</v>
      </c>
      <c r="J2" s="5" t="n">
        <v>22</v>
      </c>
      <c r="K2" s="5" t="n">
        <v>21.5</v>
      </c>
      <c r="L2" s="5" t="n">
        <v>32</v>
      </c>
      <c r="M2" s="5" t="n">
        <v>35</v>
      </c>
      <c r="N2" s="5" t="n">
        <v>24</v>
      </c>
      <c r="O2" s="5" t="n">
        <v>37.9</v>
      </c>
      <c r="P2" s="5" t="n">
        <v>27.5</v>
      </c>
    </row>
    <row r="3" customFormat="false" ht="15" hidden="false" customHeight="false" outlineLevel="0" collapsed="false">
      <c r="A3" s="6" t="s">
        <v>2</v>
      </c>
      <c r="B3" s="5" t="n">
        <v>33</v>
      </c>
      <c r="C3" s="5" t="n">
        <v>40</v>
      </c>
      <c r="D3" s="5" t="n">
        <v>36</v>
      </c>
      <c r="E3" s="5" t="n">
        <v>60</v>
      </c>
      <c r="F3" s="5" t="n">
        <v>55</v>
      </c>
      <c r="G3" s="5" t="n">
        <v>80</v>
      </c>
      <c r="H3" s="5" t="n">
        <v>95</v>
      </c>
      <c r="I3" s="5" t="n">
        <v>70</v>
      </c>
      <c r="J3" s="5" t="n">
        <v>48</v>
      </c>
      <c r="K3" s="5" t="n">
        <v>53</v>
      </c>
      <c r="L3" s="5" t="n">
        <v>95</v>
      </c>
      <c r="M3" s="5" t="n">
        <v>75</v>
      </c>
      <c r="N3" s="5" t="n">
        <v>63</v>
      </c>
      <c r="O3" s="5" t="n">
        <v>112</v>
      </c>
      <c r="P3" s="5" t="n">
        <v>70</v>
      </c>
    </row>
    <row r="4" customFormat="false" ht="15" hidden="false" customHeight="false" outlineLevel="0" collapsed="false">
      <c r="A4" s="7" t="s">
        <v>3</v>
      </c>
      <c r="B4" s="7" t="n">
        <v>5</v>
      </c>
      <c r="C4" s="7"/>
      <c r="D4" s="7"/>
    </row>
    <row r="5" customFormat="false" ht="15" hidden="false" customHeight="false" outlineLevel="0" collapsed="false">
      <c r="A5" s="8" t="s">
        <v>4</v>
      </c>
      <c r="B5" s="9" t="n">
        <f aca="false">(MAX(B3:P3)-MIN(B3:P3))/B4</f>
        <v>15.8</v>
      </c>
      <c r="C5" s="10" t="s">
        <v>5</v>
      </c>
      <c r="D5" s="11" t="n">
        <v>16</v>
      </c>
    </row>
    <row r="6" customFormat="false" ht="15" hidden="false" customHeight="false" outlineLevel="0" collapsed="false">
      <c r="A6" s="12" t="s">
        <v>6</v>
      </c>
      <c r="B6" s="13" t="n">
        <f aca="false">(MAX(B2:P2)-MIN(B2:P2))/B4</f>
        <v>4.82</v>
      </c>
      <c r="C6" s="14" t="s">
        <v>5</v>
      </c>
      <c r="D6" s="15" t="n">
        <v>5</v>
      </c>
    </row>
    <row r="9" customFormat="false" ht="15" hidden="false" customHeight="false" outlineLevel="0" collapsed="false">
      <c r="A9" s="2" t="s">
        <v>7</v>
      </c>
      <c r="B9" s="2"/>
      <c r="C9" s="7"/>
      <c r="D9" s="7"/>
      <c r="E9" s="7"/>
      <c r="F9" s="7"/>
      <c r="G9" s="7"/>
    </row>
    <row r="10" customFormat="false" ht="15" hidden="false" customHeight="false" outlineLevel="0" collapsed="false">
      <c r="A10" s="5" t="s">
        <v>2</v>
      </c>
      <c r="B10" s="5" t="n">
        <v>33</v>
      </c>
      <c r="C10" s="5" t="n">
        <f aca="false">B10+$D$5</f>
        <v>49</v>
      </c>
      <c r="D10" s="5" t="n">
        <f aca="false">C10+$D$5</f>
        <v>65</v>
      </c>
      <c r="E10" s="5" t="n">
        <f aca="false">D10+$D$5</f>
        <v>81</v>
      </c>
      <c r="F10" s="5" t="n">
        <f aca="false">E10+$D$5</f>
        <v>97</v>
      </c>
      <c r="G10" s="5" t="n">
        <f aca="false">F10+$D$5</f>
        <v>113</v>
      </c>
    </row>
    <row r="11" customFormat="false" ht="15" hidden="false" customHeight="false" outlineLevel="0" collapsed="false">
      <c r="A11" s="5" t="s">
        <v>1</v>
      </c>
      <c r="B11" s="5" t="n">
        <v>13</v>
      </c>
      <c r="C11" s="5" t="n">
        <f aca="false">B11+5</f>
        <v>18</v>
      </c>
      <c r="D11" s="5" t="n">
        <f aca="false">C11+5</f>
        <v>23</v>
      </c>
      <c r="E11" s="5" t="n">
        <f aca="false">D11+5</f>
        <v>28</v>
      </c>
      <c r="F11" s="5" t="n">
        <f aca="false">E11+5</f>
        <v>33</v>
      </c>
      <c r="G11" s="5" t="n">
        <f aca="false">F11+5</f>
        <v>38</v>
      </c>
    </row>
    <row r="16" customFormat="false" ht="15" hidden="false" customHeight="false" outlineLevel="0" collapsed="false">
      <c r="A16" s="2" t="s">
        <v>8</v>
      </c>
      <c r="B16" s="2" t="s">
        <v>2</v>
      </c>
      <c r="C16" s="2" t="s">
        <v>1</v>
      </c>
      <c r="D16" s="2" t="s">
        <v>9</v>
      </c>
      <c r="E16" s="2" t="s">
        <v>10</v>
      </c>
      <c r="F16" s="2" t="s">
        <v>11</v>
      </c>
      <c r="G16" s="2" t="s">
        <v>12</v>
      </c>
      <c r="H16" s="2" t="s">
        <v>13</v>
      </c>
      <c r="I16" s="2" t="s">
        <v>14</v>
      </c>
      <c r="J16" s="2" t="s">
        <v>15</v>
      </c>
    </row>
    <row r="17" customFormat="false" ht="15" hidden="false" customHeight="false" outlineLevel="0" collapsed="false">
      <c r="A17" s="5" t="n">
        <v>1</v>
      </c>
      <c r="B17" s="5" t="n">
        <f aca="false">B3</f>
        <v>33</v>
      </c>
      <c r="C17" s="5" t="n">
        <v>13.8</v>
      </c>
      <c r="D17" s="5" t="n">
        <f aca="false">POWER(B17,2)</f>
        <v>1089</v>
      </c>
      <c r="E17" s="5" t="n">
        <f aca="false">POWER(C17,2)</f>
        <v>190.44</v>
      </c>
      <c r="F17" s="5" t="n">
        <f aca="false">B17*C17</f>
        <v>455.4</v>
      </c>
      <c r="G17" s="16" t="n">
        <f aca="false">$B$36+$B$35*B17</f>
        <v>14.7341206030151</v>
      </c>
      <c r="H17" s="16" t="n">
        <f aca="false">C17-G17</f>
        <v>-0.934120603015053</v>
      </c>
      <c r="I17" s="16" t="n">
        <f aca="false">POWER(H17,2)</f>
        <v>0.872581300977206</v>
      </c>
      <c r="J17" s="17" t="n">
        <f aca="false">ABS((H17)/C17)</f>
        <v>0.0676898987692067</v>
      </c>
    </row>
    <row r="18" customFormat="false" ht="15" hidden="false" customHeight="false" outlineLevel="0" collapsed="false">
      <c r="A18" s="5" t="n">
        <v>2</v>
      </c>
      <c r="B18" s="5" t="n">
        <f aca="false">C3</f>
        <v>40</v>
      </c>
      <c r="C18" s="5" t="n">
        <v>13.8</v>
      </c>
      <c r="D18" s="5" t="n">
        <f aca="false">POWER(B18,2)</f>
        <v>1600</v>
      </c>
      <c r="E18" s="5" t="n">
        <f aca="false">POWER(C18,2)</f>
        <v>190.44</v>
      </c>
      <c r="F18" s="5" t="n">
        <f aca="false">B18*C18</f>
        <v>552</v>
      </c>
      <c r="G18" s="16" t="n">
        <f aca="false">$B$36+$B$35*B18</f>
        <v>16.8468090452261</v>
      </c>
      <c r="H18" s="16" t="n">
        <f aca="false">C18-G18</f>
        <v>-3.04680904522611</v>
      </c>
      <c r="I18" s="16" t="n">
        <f aca="false">POWER(H18,2)</f>
        <v>9.28304535807165</v>
      </c>
      <c r="J18" s="17" t="n">
        <f aca="false">ABS((H18)/C18)</f>
        <v>0.22078326414682</v>
      </c>
    </row>
    <row r="19" customFormat="false" ht="15" hidden="false" customHeight="false" outlineLevel="0" collapsed="false">
      <c r="A19" s="5" t="n">
        <v>3</v>
      </c>
      <c r="B19" s="5" t="n">
        <f aca="false">D3</f>
        <v>36</v>
      </c>
      <c r="C19" s="5" t="n">
        <v>14</v>
      </c>
      <c r="D19" s="5" t="n">
        <f aca="false">POWER(B19,2)</f>
        <v>1296</v>
      </c>
      <c r="E19" s="5" t="n">
        <f aca="false">POWER(C19,2)</f>
        <v>196</v>
      </c>
      <c r="F19" s="5" t="n">
        <f aca="false">B19*C19</f>
        <v>504</v>
      </c>
      <c r="G19" s="16" t="n">
        <f aca="false">$B$36+$B$35*B19</f>
        <v>15.6395585068198</v>
      </c>
      <c r="H19" s="16" t="n">
        <f aca="false">C19-G19</f>
        <v>-1.63955850681979</v>
      </c>
      <c r="I19" s="16" t="n">
        <f aca="false">POWER(H19,2)</f>
        <v>2.68815209728515</v>
      </c>
      <c r="J19" s="17" t="n">
        <f aca="false">ABS((H19)/C19)</f>
        <v>0.117111321915699</v>
      </c>
    </row>
    <row r="20" customFormat="false" ht="15" hidden="false" customHeight="false" outlineLevel="0" collapsed="false">
      <c r="A20" s="5" t="n">
        <v>4</v>
      </c>
      <c r="B20" s="5" t="n">
        <f aca="false">E3</f>
        <v>60</v>
      </c>
      <c r="C20" s="5" t="n">
        <v>22.5</v>
      </c>
      <c r="D20" s="5" t="n">
        <f aca="false">POWER(B20,2)</f>
        <v>3600</v>
      </c>
      <c r="E20" s="5" t="n">
        <f aca="false">POWER(C20,2)</f>
        <v>506.25</v>
      </c>
      <c r="F20" s="5" t="n">
        <f aca="false">B20*C20</f>
        <v>1350</v>
      </c>
      <c r="G20" s="16" t="n">
        <f aca="false">$B$36+$B$35*B20</f>
        <v>22.8830617372577</v>
      </c>
      <c r="H20" s="16" t="n">
        <f aca="false">C20-G20</f>
        <v>-0.383061737257709</v>
      </c>
      <c r="I20" s="16" t="n">
        <f aca="false">POWER(H20,2)</f>
        <v>0.146736294550894</v>
      </c>
      <c r="J20" s="17" t="n">
        <f aca="false">ABS((H20)/C20)</f>
        <v>0.0170249661003426</v>
      </c>
    </row>
    <row r="21" customFormat="false" ht="15" hidden="false" customHeight="false" outlineLevel="0" collapsed="false">
      <c r="A21" s="5" t="n">
        <v>5</v>
      </c>
      <c r="B21" s="5" t="n">
        <f aca="false">F3</f>
        <v>55</v>
      </c>
      <c r="C21" s="5" t="n">
        <v>24</v>
      </c>
      <c r="D21" s="5" t="n">
        <f aca="false">POWER(B21,2)</f>
        <v>3025</v>
      </c>
      <c r="E21" s="5" t="n">
        <f aca="false">POWER(C21,2)</f>
        <v>576</v>
      </c>
      <c r="F21" s="5" t="n">
        <f aca="false">B21*C21</f>
        <v>1320</v>
      </c>
      <c r="G21" s="16" t="n">
        <f aca="false">$B$36+$B$35*B21</f>
        <v>21.3739985642498</v>
      </c>
      <c r="H21" s="16" t="n">
        <f aca="false">C21-G21</f>
        <v>2.62600143575019</v>
      </c>
      <c r="I21" s="16" t="n">
        <f aca="false">POWER(H21,2)</f>
        <v>6.89588354056206</v>
      </c>
      <c r="J21" s="17" t="n">
        <f aca="false">ABS((H21)/C21)</f>
        <v>0.109416726489591</v>
      </c>
    </row>
    <row r="22" customFormat="false" ht="15" hidden="false" customHeight="false" outlineLevel="0" collapsed="false">
      <c r="A22" s="5" t="n">
        <v>6</v>
      </c>
      <c r="B22" s="5" t="n">
        <f aca="false">G3</f>
        <v>80</v>
      </c>
      <c r="C22" s="5" t="n">
        <v>28</v>
      </c>
      <c r="D22" s="5" t="n">
        <f aca="false">POWER(B22,2)</f>
        <v>6400</v>
      </c>
      <c r="E22" s="5" t="n">
        <f aca="false">POWER(C22,2)</f>
        <v>784</v>
      </c>
      <c r="F22" s="5" t="n">
        <f aca="false">B22*C22</f>
        <v>2240</v>
      </c>
      <c r="G22" s="16" t="n">
        <f aca="false">$B$36+$B$35*B22</f>
        <v>28.9193144292893</v>
      </c>
      <c r="H22" s="16" t="n">
        <f aca="false">C22-G22</f>
        <v>-0.919314429289308</v>
      </c>
      <c r="I22" s="16" t="n">
        <f aca="false">POWER(H22,2)</f>
        <v>0.845139019899526</v>
      </c>
      <c r="J22" s="17" t="n">
        <f aca="false">ABS((H22)/C22)</f>
        <v>0.0328326581889039</v>
      </c>
    </row>
    <row r="23" customFormat="false" ht="15" hidden="false" customHeight="false" outlineLevel="0" collapsed="false">
      <c r="A23" s="5" t="n">
        <v>7</v>
      </c>
      <c r="B23" s="5" t="n">
        <f aca="false">H3</f>
        <v>95</v>
      </c>
      <c r="C23" s="5" t="n">
        <v>32</v>
      </c>
      <c r="D23" s="5" t="n">
        <f aca="false">POWER(B23,2)</f>
        <v>9025</v>
      </c>
      <c r="E23" s="5" t="n">
        <f aca="false">POWER(C23,2)</f>
        <v>1024</v>
      </c>
      <c r="F23" s="5" t="n">
        <f aca="false">B23*C23</f>
        <v>3040</v>
      </c>
      <c r="G23" s="16" t="n">
        <f aca="false">$B$36+$B$35*B23</f>
        <v>33.446503948313</v>
      </c>
      <c r="H23" s="16" t="n">
        <f aca="false">C23-G23</f>
        <v>-1.44650394831301</v>
      </c>
      <c r="I23" s="16" t="n">
        <f aca="false">POWER(H23,2)</f>
        <v>2.09237367248512</v>
      </c>
      <c r="J23" s="17" t="n">
        <f aca="false">ABS((H23)/C23)</f>
        <v>0.0452032483847815</v>
      </c>
    </row>
    <row r="24" customFormat="false" ht="15" hidden="false" customHeight="false" outlineLevel="0" collapsed="false">
      <c r="A24" s="5" t="n">
        <v>8</v>
      </c>
      <c r="B24" s="5" t="n">
        <v>70</v>
      </c>
      <c r="C24" s="5" t="n">
        <v>20.9</v>
      </c>
      <c r="D24" s="5" t="n">
        <f aca="false">POWER(B24,2)</f>
        <v>4900</v>
      </c>
      <c r="E24" s="5" t="n">
        <f aca="false">POWER(C24,2)</f>
        <v>436.81</v>
      </c>
      <c r="F24" s="5" t="n">
        <f aca="false">B24*C24</f>
        <v>1463</v>
      </c>
      <c r="G24" s="16" t="n">
        <f aca="false">$B$36+$B$35*B24</f>
        <v>25.9011880832735</v>
      </c>
      <c r="H24" s="16" t="n">
        <f aca="false">C24-G24</f>
        <v>-5.00118808327351</v>
      </c>
      <c r="I24" s="16" t="n">
        <f aca="false">POWER(H24,2)</f>
        <v>25.011882244277</v>
      </c>
      <c r="J24" s="17" t="n">
        <f aca="false">ABS((H24)/C24)</f>
        <v>0.239291295850407</v>
      </c>
    </row>
    <row r="25" customFormat="false" ht="15" hidden="false" customHeight="false" outlineLevel="0" collapsed="false">
      <c r="A25" s="5" t="n">
        <v>9</v>
      </c>
      <c r="B25" s="5" t="n">
        <v>48</v>
      </c>
      <c r="C25" s="5" t="n">
        <v>22</v>
      </c>
      <c r="D25" s="5" t="n">
        <f aca="false">POWER(B25,2)</f>
        <v>2304</v>
      </c>
      <c r="E25" s="5" t="n">
        <f aca="false">POWER(C25,2)</f>
        <v>484</v>
      </c>
      <c r="F25" s="5" t="n">
        <f aca="false">B25*C25</f>
        <v>1056</v>
      </c>
      <c r="G25" s="16" t="n">
        <f aca="false">$B$36+$B$35*B25</f>
        <v>19.2613101220388</v>
      </c>
      <c r="H25" s="16" t="n">
        <f aca="false">C25-G25</f>
        <v>2.73868987796125</v>
      </c>
      <c r="I25" s="16" t="n">
        <f aca="false">POWER(H25,2)</f>
        <v>7.5004222476474</v>
      </c>
      <c r="J25" s="17" t="n">
        <f aca="false">ABS((H25)/C25)</f>
        <v>0.124485903543693</v>
      </c>
    </row>
    <row r="26" customFormat="false" ht="15" hidden="false" customHeight="false" outlineLevel="0" collapsed="false">
      <c r="A26" s="5" t="n">
        <v>10</v>
      </c>
      <c r="B26" s="5" t="n">
        <v>53</v>
      </c>
      <c r="C26" s="5" t="n">
        <v>21.5</v>
      </c>
      <c r="D26" s="5" t="n">
        <f aca="false">POWER(B26,2)</f>
        <v>2809</v>
      </c>
      <c r="E26" s="5" t="n">
        <f aca="false">POWER(C26,2)</f>
        <v>462.25</v>
      </c>
      <c r="F26" s="5" t="n">
        <f aca="false">B26*C26</f>
        <v>1139.5</v>
      </c>
      <c r="G26" s="16" t="n">
        <f aca="false">$B$36+$B$35*B26</f>
        <v>20.7703732950467</v>
      </c>
      <c r="H26" s="16" t="n">
        <f aca="false">C26-G26</f>
        <v>0.729626704953347</v>
      </c>
      <c r="I26" s="16" t="n">
        <f aca="false">POWER(H26,2)</f>
        <v>0.532355128581078</v>
      </c>
      <c r="J26" s="17" t="n">
        <f aca="false">ABS((H26)/C26)</f>
        <v>0.0339361258117836</v>
      </c>
    </row>
    <row r="27" customFormat="false" ht="15" hidden="false" customHeight="false" outlineLevel="0" collapsed="false">
      <c r="A27" s="5" t="n">
        <v>11</v>
      </c>
      <c r="B27" s="5" t="n">
        <v>95</v>
      </c>
      <c r="C27" s="5" t="n">
        <v>32</v>
      </c>
      <c r="D27" s="5" t="n">
        <f aca="false">POWER(B27,2)</f>
        <v>9025</v>
      </c>
      <c r="E27" s="5" t="n">
        <f aca="false">POWER(C27,2)</f>
        <v>1024</v>
      </c>
      <c r="F27" s="5" t="n">
        <f aca="false">B27*C27</f>
        <v>3040</v>
      </c>
      <c r="G27" s="16" t="n">
        <f aca="false">$B$36+$B$35*B27</f>
        <v>33.446503948313</v>
      </c>
      <c r="H27" s="16" t="n">
        <f aca="false">C27-G27</f>
        <v>-1.44650394831301</v>
      </c>
      <c r="I27" s="16" t="n">
        <f aca="false">POWER(H27,2)</f>
        <v>2.09237367248512</v>
      </c>
      <c r="J27" s="17" t="n">
        <f aca="false">ABS((H27)/C27)</f>
        <v>0.0452032483847815</v>
      </c>
    </row>
    <row r="28" customFormat="false" ht="15" hidden="false" customHeight="false" outlineLevel="0" collapsed="false">
      <c r="A28" s="5" t="n">
        <v>12</v>
      </c>
      <c r="B28" s="5" t="n">
        <v>75</v>
      </c>
      <c r="C28" s="5" t="n">
        <v>35</v>
      </c>
      <c r="D28" s="5" t="n">
        <f aca="false">POWER(B28,2)</f>
        <v>5625</v>
      </c>
      <c r="E28" s="5" t="n">
        <f aca="false">POWER(C28,2)</f>
        <v>1225</v>
      </c>
      <c r="F28" s="5" t="n">
        <f aca="false">B28*C28</f>
        <v>2625</v>
      </c>
      <c r="G28" s="16" t="n">
        <f aca="false">$B$36+$B$35*B28</f>
        <v>27.4102512562814</v>
      </c>
      <c r="H28" s="16" t="n">
        <f aca="false">C28-G28</f>
        <v>7.58974874371859</v>
      </c>
      <c r="I28" s="16" t="n">
        <f aca="false">POWER(H28,2)</f>
        <v>57.6042859927779</v>
      </c>
      <c r="J28" s="17" t="n">
        <f aca="false">ABS((H28)/C28)</f>
        <v>0.216849964106245</v>
      </c>
    </row>
    <row r="29" customFormat="false" ht="15" hidden="false" customHeight="false" outlineLevel="0" collapsed="false">
      <c r="A29" s="5" t="n">
        <v>13</v>
      </c>
      <c r="B29" s="5" t="n">
        <v>63</v>
      </c>
      <c r="C29" s="5" t="n">
        <v>24</v>
      </c>
      <c r="D29" s="5" t="n">
        <f aca="false">POWER(B29,2)</f>
        <v>3969</v>
      </c>
      <c r="E29" s="5" t="n">
        <f aca="false">POWER(C29,2)</f>
        <v>576</v>
      </c>
      <c r="F29" s="5" t="n">
        <f aca="false">B29*C29</f>
        <v>1512</v>
      </c>
      <c r="G29" s="16" t="n">
        <f aca="false">$B$36+$B$35*B29</f>
        <v>23.7884996410625</v>
      </c>
      <c r="H29" s="16" t="n">
        <f aca="false">C29-G29</f>
        <v>0.211500358937549</v>
      </c>
      <c r="I29" s="16" t="n">
        <f aca="false">POWER(H29,2)</f>
        <v>0.0447324018307121</v>
      </c>
      <c r="J29" s="17" t="n">
        <f aca="false">ABS((H29)/C29)</f>
        <v>0.00881251495573121</v>
      </c>
    </row>
    <row r="30" customFormat="false" ht="15" hidden="false" customHeight="false" outlineLevel="0" collapsed="false">
      <c r="A30" s="5" t="n">
        <v>14</v>
      </c>
      <c r="B30" s="5" t="n">
        <v>112</v>
      </c>
      <c r="C30" s="5" t="n">
        <v>37.9</v>
      </c>
      <c r="D30" s="5" t="n">
        <f aca="false">POWER(B30,2)</f>
        <v>12544</v>
      </c>
      <c r="E30" s="5" t="n">
        <f aca="false">POWER(C30,2)</f>
        <v>1436.41</v>
      </c>
      <c r="F30" s="5" t="n">
        <f aca="false">B30*C30</f>
        <v>4244.8</v>
      </c>
      <c r="G30" s="16" t="n">
        <f aca="false">$B$36+$B$35*B30</f>
        <v>38.5773187365399</v>
      </c>
      <c r="H30" s="16" t="n">
        <f aca="false">C30-G30</f>
        <v>-0.677318736539867</v>
      </c>
      <c r="I30" s="16" t="n">
        <f aca="false">POWER(H30,2)</f>
        <v>0.458760670867962</v>
      </c>
      <c r="J30" s="17" t="n">
        <f aca="false">ABS((H30)/C30)</f>
        <v>0.0178712067688619</v>
      </c>
    </row>
    <row r="31" customFormat="false" ht="15" hidden="false" customHeight="false" outlineLevel="0" collapsed="false">
      <c r="A31" s="5" t="n">
        <v>15</v>
      </c>
      <c r="B31" s="5" t="n">
        <v>70</v>
      </c>
      <c r="C31" s="5" t="n">
        <v>27.5</v>
      </c>
      <c r="D31" s="5" t="n">
        <f aca="false">POWER(B31,2)</f>
        <v>4900</v>
      </c>
      <c r="E31" s="5" t="n">
        <f aca="false">POWER(C31,2)</f>
        <v>756.25</v>
      </c>
      <c r="F31" s="5" t="n">
        <f aca="false">B31*C31</f>
        <v>1925</v>
      </c>
      <c r="G31" s="16" t="n">
        <f aca="false">$B$36+$B$35*B31</f>
        <v>25.9011880832735</v>
      </c>
      <c r="H31" s="16" t="n">
        <f aca="false">C31-G31</f>
        <v>1.59881191672649</v>
      </c>
      <c r="I31" s="16" t="n">
        <f aca="false">POWER(H31,2)</f>
        <v>2.55619954506663</v>
      </c>
      <c r="J31" s="17" t="n">
        <f aca="false">ABS((H31)/C31)</f>
        <v>0.0581386151536905</v>
      </c>
    </row>
    <row r="32" customFormat="false" ht="15" hidden="false" customHeight="false" outlineLevel="0" collapsed="false">
      <c r="A32" s="5" t="s">
        <v>16</v>
      </c>
      <c r="B32" s="5" t="n">
        <f aca="false">SUM(B17:B31)</f>
        <v>985</v>
      </c>
      <c r="C32" s="5" t="n">
        <f aca="false">SUM(C17:C31)</f>
        <v>368.9</v>
      </c>
      <c r="D32" s="5" t="n">
        <f aca="false">SUM(D17:D31)</f>
        <v>72111</v>
      </c>
      <c r="E32" s="5" t="n">
        <f aca="false">SUM(E17:E31)</f>
        <v>9867.85</v>
      </c>
      <c r="F32" s="5" t="n">
        <f aca="false">SUM(F17:F31)</f>
        <v>26466.7</v>
      </c>
      <c r="G32" s="5" t="n">
        <f aca="false">SUM(G17:G31)</f>
        <v>368.9</v>
      </c>
      <c r="H32" s="5" t="n">
        <f aca="false">SUM(H17:H31)</f>
        <v>4.61852778244065E-014</v>
      </c>
      <c r="I32" s="5" t="n">
        <f aca="false">SUM(I17:I31)</f>
        <v>118.624923187365</v>
      </c>
      <c r="J32" s="17" t="n">
        <f aca="false">SUM(J17:J31)</f>
        <v>1.35465095857054</v>
      </c>
    </row>
    <row r="33" customFormat="false" ht="15" hidden="false" customHeight="false" outlineLevel="0" collapsed="false">
      <c r="A33" s="5" t="s">
        <v>17</v>
      </c>
      <c r="B33" s="18" t="n">
        <f aca="false">B32/A31</f>
        <v>65.6666666666667</v>
      </c>
      <c r="C33" s="18" t="n">
        <f aca="false">C32/$A$31</f>
        <v>24.5933333333333</v>
      </c>
      <c r="D33" s="18" t="n">
        <f aca="false">D32/$A$31</f>
        <v>4807.4</v>
      </c>
      <c r="E33" s="18" t="n">
        <f aca="false">E32/$A$31</f>
        <v>657.856666666667</v>
      </c>
      <c r="F33" s="18" t="n">
        <f aca="false">F32/$A$31</f>
        <v>1764.44666666667</v>
      </c>
      <c r="G33" s="18" t="n">
        <f aca="false">G32/$A$31</f>
        <v>24.5933333333333</v>
      </c>
      <c r="H33" s="18" t="n">
        <f aca="false">H32/$A$31</f>
        <v>3.0790185216271E-015</v>
      </c>
      <c r="I33" s="18" t="n">
        <f aca="false">I32/$A$31</f>
        <v>7.90832821249103</v>
      </c>
      <c r="J33" s="17" t="n">
        <f aca="false">J32/$A$31</f>
        <v>0.0903100639047027</v>
      </c>
    </row>
    <row r="35" customFormat="false" ht="15" hidden="false" customHeight="false" outlineLevel="0" collapsed="false">
      <c r="A35" s="5" t="s">
        <v>18</v>
      </c>
      <c r="B35" s="16" t="n">
        <f aca="false">(F33-B33*C33)/(D33-POWER(B33,2))</f>
        <v>0.30181263460158</v>
      </c>
    </row>
    <row r="36" customFormat="false" ht="15" hidden="false" customHeight="false" outlineLevel="0" collapsed="false">
      <c r="A36" s="5" t="s">
        <v>19</v>
      </c>
      <c r="B36" s="16" t="n">
        <f aca="false">C33-B35*B33</f>
        <v>4.77430366116292</v>
      </c>
    </row>
    <row r="38" customFormat="false" ht="15" hidden="false" customHeight="false" outlineLevel="0" collapsed="false">
      <c r="A38" s="19" t="s">
        <v>20</v>
      </c>
      <c r="B38" s="19"/>
      <c r="C38" s="19"/>
    </row>
    <row r="39" customFormat="false" ht="15" hidden="false" customHeight="false" outlineLevel="0" collapsed="false">
      <c r="A39" s="19"/>
      <c r="B39" s="19"/>
      <c r="C39" s="19"/>
    </row>
    <row r="41" customFormat="false" ht="15" hidden="false" customHeight="false" outlineLevel="0" collapsed="false">
      <c r="A41" s="20" t="s">
        <v>21</v>
      </c>
      <c r="B41" s="21" t="n">
        <f aca="false">B35*(B33/C33)</f>
        <v>0.805870005645314</v>
      </c>
    </row>
    <row r="42" customFormat="false" ht="15" hidden="false" customHeight="false" outlineLevel="0" collapsed="false">
      <c r="A42" s="22"/>
      <c r="B42" s="23"/>
    </row>
    <row r="43" customFormat="false" ht="15" hidden="false" customHeight="false" outlineLevel="0" collapsed="false">
      <c r="A43" s="24" t="s">
        <v>22</v>
      </c>
      <c r="B43" s="25" t="n">
        <f aca="false">SQRT(D33-POWER(B33,2))</f>
        <v>22.2550868092867</v>
      </c>
      <c r="G43" s="26" t="s">
        <v>23</v>
      </c>
      <c r="H43" s="27" t="n">
        <f aca="false">(B45)/SQRT((1-B46)/(A31-2))</f>
        <v>8.61184178894475</v>
      </c>
      <c r="M43" s="26" t="s">
        <v>24</v>
      </c>
      <c r="N43" s="28" t="n">
        <f aca="false">SQRT((I32)/((A31-2)*B43*B43*A31))</f>
        <v>0.0350462354044895</v>
      </c>
    </row>
    <row r="44" customFormat="false" ht="15" hidden="false" customHeight="false" outlineLevel="0" collapsed="false">
      <c r="A44" s="24" t="s">
        <v>25</v>
      </c>
      <c r="B44" s="25" t="n">
        <f aca="false">SQRT(E33-POWER(C33,2))</f>
        <v>7.28180075408703</v>
      </c>
      <c r="G44" s="22"/>
      <c r="H44" s="29"/>
      <c r="M44" s="22"/>
      <c r="N44" s="30"/>
    </row>
    <row r="45" customFormat="false" ht="15" hidden="false" customHeight="false" outlineLevel="0" collapsed="false">
      <c r="A45" s="24" t="s">
        <v>26</v>
      </c>
      <c r="B45" s="25" t="n">
        <f aca="false">(F33-B33*C33)/(B43*B44)</f>
        <v>0.922418315198716</v>
      </c>
      <c r="G45" s="26" t="s">
        <v>27</v>
      </c>
      <c r="H45" s="31" t="n">
        <v>2.16</v>
      </c>
      <c r="M45" s="26" t="s">
        <v>23</v>
      </c>
      <c r="N45" s="32" t="n">
        <f aca="false">B35/N43</f>
        <v>8.61184178894481</v>
      </c>
    </row>
    <row r="46" customFormat="false" ht="15" hidden="false" customHeight="false" outlineLevel="0" collapsed="false">
      <c r="A46" s="24" t="s">
        <v>28</v>
      </c>
      <c r="B46" s="25" t="n">
        <f aca="false">B45*B45</f>
        <v>0.850855548214038</v>
      </c>
      <c r="G46" s="22"/>
      <c r="H46" s="29"/>
    </row>
    <row r="47" customFormat="false" ht="15" hidden="false" customHeight="false" outlineLevel="0" collapsed="false">
      <c r="G47" s="22"/>
      <c r="H47" s="29"/>
    </row>
    <row r="48" customFormat="false" ht="15" hidden="false" customHeight="false" outlineLevel="0" collapsed="false">
      <c r="G48" s="22"/>
      <c r="H48" s="29"/>
    </row>
    <row r="49" customFormat="false" ht="15" hidden="false" customHeight="false" outlineLevel="0" collapsed="false">
      <c r="G49" s="22"/>
      <c r="H49" s="29"/>
    </row>
    <row r="50" customFormat="false" ht="15" hidden="false" customHeight="false" outlineLevel="0" collapsed="false">
      <c r="A50" s="26" t="s">
        <v>29</v>
      </c>
      <c r="B50" s="31" t="n">
        <f aca="false">B33*1.2</f>
        <v>78.8</v>
      </c>
      <c r="G50" s="26" t="s">
        <v>30</v>
      </c>
      <c r="H50" s="27" t="n">
        <f aca="false">(A31-2)*(B46/(1-B46))</f>
        <v>74.1638189978151</v>
      </c>
    </row>
    <row r="51" customFormat="false" ht="15" hidden="false" customHeight="false" outlineLevel="0" collapsed="false">
      <c r="G51" s="22"/>
      <c r="H51" s="29"/>
    </row>
    <row r="52" customFormat="false" ht="15" hidden="false" customHeight="false" outlineLevel="0" collapsed="false">
      <c r="A52" s="20" t="s">
        <v>31</v>
      </c>
      <c r="B52" s="21" t="n">
        <f aca="false">$B$36+$B$35*B50</f>
        <v>28.5571392677674</v>
      </c>
      <c r="G52" s="26" t="s">
        <v>32</v>
      </c>
      <c r="H52" s="31" t="n">
        <v>4.67</v>
      </c>
    </row>
  </sheetData>
  <mergeCells count="3">
    <mergeCell ref="A1:B1"/>
    <mergeCell ref="A9:B9"/>
    <mergeCell ref="A38:C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5" activeCellId="0" sqref="G25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4.08"/>
    <col collapsed="false" customWidth="false" hidden="false" outlineLevel="0" max="16384" min="2" style="1" width="8.48"/>
  </cols>
  <sheetData>
    <row r="2" customFormat="false" ht="15" hidden="false" customHeight="false" outlineLevel="0" collapsed="false">
      <c r="B2" s="2" t="s">
        <v>33</v>
      </c>
      <c r="C2" s="5" t="n">
        <v>1</v>
      </c>
      <c r="D2" s="5" t="n">
        <v>2</v>
      </c>
      <c r="E2" s="5" t="n">
        <v>3</v>
      </c>
      <c r="F2" s="5" t="n">
        <v>4</v>
      </c>
      <c r="G2" s="5" t="n">
        <v>5</v>
      </c>
      <c r="H2" s="5" t="n">
        <v>6</v>
      </c>
      <c r="I2" s="5" t="n">
        <v>7</v>
      </c>
      <c r="J2" s="5" t="n">
        <v>8</v>
      </c>
      <c r="K2" s="5" t="n">
        <v>9</v>
      </c>
      <c r="L2" s="5" t="n">
        <v>10</v>
      </c>
      <c r="M2" s="5" t="n">
        <v>11</v>
      </c>
      <c r="N2" s="5" t="n">
        <v>12</v>
      </c>
    </row>
    <row r="3" customFormat="false" ht="15" hidden="false" customHeight="false" outlineLevel="0" collapsed="false">
      <c r="B3" s="2" t="s">
        <v>2</v>
      </c>
      <c r="C3" s="5" t="n">
        <v>8.453</v>
      </c>
      <c r="D3" s="5" t="n">
        <v>7.666</v>
      </c>
      <c r="E3" s="5" t="n">
        <v>5.047</v>
      </c>
      <c r="F3" s="5" t="n">
        <v>3.628</v>
      </c>
      <c r="G3" s="5" t="n">
        <v>3.464</v>
      </c>
      <c r="H3" s="5" t="n">
        <v>2.434</v>
      </c>
      <c r="I3" s="5" t="n">
        <v>2.905</v>
      </c>
      <c r="J3" s="5" t="n">
        <v>1.167</v>
      </c>
      <c r="K3" s="5" t="n">
        <v>2.142</v>
      </c>
      <c r="L3" s="5" t="n">
        <v>2.028</v>
      </c>
      <c r="M3" s="5" t="n">
        <v>2.992</v>
      </c>
      <c r="N3" s="5" t="n">
        <v>0.715</v>
      </c>
    </row>
    <row r="5" customFormat="false" ht="15" hidden="false" customHeight="false" outlineLevel="0" collapsed="false">
      <c r="B5" s="2" t="s">
        <v>8</v>
      </c>
      <c r="C5" s="2" t="s">
        <v>33</v>
      </c>
      <c r="D5" s="2" t="s">
        <v>2</v>
      </c>
      <c r="E5" s="2" t="s">
        <v>1</v>
      </c>
      <c r="F5" s="2" t="s">
        <v>34</v>
      </c>
      <c r="G5" s="2" t="s">
        <v>10</v>
      </c>
      <c r="H5" s="2" t="s">
        <v>35</v>
      </c>
    </row>
    <row r="6" customFormat="false" ht="15" hidden="false" customHeight="false" outlineLevel="0" collapsed="false">
      <c r="B6" s="5" t="n">
        <v>1</v>
      </c>
      <c r="C6" s="5" t="n">
        <v>1</v>
      </c>
      <c r="D6" s="18" t="n">
        <f aca="false">C3</f>
        <v>8.453</v>
      </c>
      <c r="E6" s="18" t="n">
        <f aca="false">LN(D6)</f>
        <v>2.13452140794679</v>
      </c>
      <c r="F6" s="5" t="n">
        <f aca="false">C6*C6</f>
        <v>1</v>
      </c>
      <c r="G6" s="18" t="n">
        <f aca="false">E6*E6</f>
        <v>4.55618164098315</v>
      </c>
      <c r="H6" s="18" t="n">
        <f aca="false">E6*C6</f>
        <v>2.13452140794679</v>
      </c>
    </row>
    <row r="7" customFormat="false" ht="15" hidden="false" customHeight="false" outlineLevel="0" collapsed="false">
      <c r="B7" s="5" t="n">
        <v>2</v>
      </c>
      <c r="C7" s="5" t="n">
        <v>2</v>
      </c>
      <c r="D7" s="18" t="n">
        <f aca="false">D3</f>
        <v>7.666</v>
      </c>
      <c r="E7" s="18" t="n">
        <f aca="false">LN(D7)</f>
        <v>2.03679496695836</v>
      </c>
      <c r="F7" s="5" t="n">
        <f aca="false">C7*C7</f>
        <v>4</v>
      </c>
      <c r="G7" s="18" t="n">
        <f aca="false">E7*E7</f>
        <v>4.14853373742692</v>
      </c>
      <c r="H7" s="18" t="n">
        <f aca="false">E7*C7</f>
        <v>4.07358993391673</v>
      </c>
    </row>
    <row r="8" customFormat="false" ht="15" hidden="false" customHeight="false" outlineLevel="0" collapsed="false">
      <c r="B8" s="5" t="n">
        <v>3</v>
      </c>
      <c r="C8" s="5" t="n">
        <v>3</v>
      </c>
      <c r="D8" s="18" t="n">
        <f aca="false">E3</f>
        <v>5.047</v>
      </c>
      <c r="E8" s="18" t="n">
        <f aca="false">LN(D8)</f>
        <v>1.61879400735813</v>
      </c>
      <c r="F8" s="5" t="n">
        <f aca="false">C8*C8</f>
        <v>9</v>
      </c>
      <c r="G8" s="18" t="n">
        <f aca="false">E8*E8</f>
        <v>2.62049403825858</v>
      </c>
      <c r="H8" s="18" t="n">
        <f aca="false">E8*C8</f>
        <v>4.85638202207438</v>
      </c>
    </row>
    <row r="9" customFormat="false" ht="15" hidden="false" customHeight="false" outlineLevel="0" collapsed="false">
      <c r="B9" s="5" t="n">
        <v>4</v>
      </c>
      <c r="C9" s="5" t="n">
        <v>4</v>
      </c>
      <c r="D9" s="18" t="n">
        <f aca="false">F3</f>
        <v>3.628</v>
      </c>
      <c r="E9" s="18" t="n">
        <f aca="false">LN(D9)</f>
        <v>1.28868153225289</v>
      </c>
      <c r="F9" s="5" t="n">
        <f aca="false">C9*C9</f>
        <v>16</v>
      </c>
      <c r="G9" s="18" t="n">
        <f aca="false">E9*E9</f>
        <v>1.66070009156966</v>
      </c>
      <c r="H9" s="18" t="n">
        <f aca="false">E9*C9</f>
        <v>5.15472612901156</v>
      </c>
    </row>
    <row r="10" customFormat="false" ht="15" hidden="false" customHeight="false" outlineLevel="0" collapsed="false">
      <c r="B10" s="5" t="n">
        <v>5</v>
      </c>
      <c r="C10" s="5" t="n">
        <v>5</v>
      </c>
      <c r="D10" s="18" t="n">
        <f aca="false">G3</f>
        <v>3.464</v>
      </c>
      <c r="E10" s="18" t="n">
        <f aca="false">LN(D10)</f>
        <v>1.24242399070019</v>
      </c>
      <c r="F10" s="5" t="n">
        <f aca="false">C10*C10</f>
        <v>25</v>
      </c>
      <c r="G10" s="18" t="n">
        <f aca="false">E10*E10</f>
        <v>1.54361737266738</v>
      </c>
      <c r="H10" s="18" t="n">
        <f aca="false">E10*C10</f>
        <v>6.21211995350094</v>
      </c>
    </row>
    <row r="11" customFormat="false" ht="15" hidden="false" customHeight="false" outlineLevel="0" collapsed="false">
      <c r="B11" s="5" t="n">
        <v>6</v>
      </c>
      <c r="C11" s="5" t="n">
        <v>6</v>
      </c>
      <c r="D11" s="18" t="n">
        <f aca="false">H3</f>
        <v>2.434</v>
      </c>
      <c r="E11" s="18" t="n">
        <f aca="false">LN(D11)</f>
        <v>0.889535994565336</v>
      </c>
      <c r="F11" s="5" t="n">
        <f aca="false">C11*C11</f>
        <v>36</v>
      </c>
      <c r="G11" s="18" t="n">
        <f aca="false">E11*E11</f>
        <v>0.791274285627341</v>
      </c>
      <c r="H11" s="18" t="n">
        <f aca="false">E11*C11</f>
        <v>5.33721596739201</v>
      </c>
    </row>
    <row r="12" customFormat="false" ht="15" hidden="false" customHeight="false" outlineLevel="0" collapsed="false">
      <c r="B12" s="5" t="n">
        <v>7</v>
      </c>
      <c r="C12" s="5" t="n">
        <v>7</v>
      </c>
      <c r="D12" s="18" t="n">
        <f aca="false">I3</f>
        <v>2.905</v>
      </c>
      <c r="E12" s="18" t="n">
        <f aca="false">LN(D12)</f>
        <v>1.06643339030387</v>
      </c>
      <c r="F12" s="5" t="n">
        <f aca="false">C12*C12</f>
        <v>49</v>
      </c>
      <c r="G12" s="18" t="n">
        <f aca="false">E12*E12</f>
        <v>1.13728017595502</v>
      </c>
      <c r="H12" s="18" t="n">
        <f aca="false">E12*C12</f>
        <v>7.46503373212712</v>
      </c>
    </row>
    <row r="13" customFormat="false" ht="15" hidden="false" customHeight="false" outlineLevel="0" collapsed="false">
      <c r="B13" s="5" t="n">
        <v>8</v>
      </c>
      <c r="C13" s="5" t="n">
        <v>8</v>
      </c>
      <c r="D13" s="18" t="n">
        <f aca="false">J3</f>
        <v>1.167</v>
      </c>
      <c r="E13" s="18" t="n">
        <f aca="false">LN(D13)</f>
        <v>0.154436353304419</v>
      </c>
      <c r="F13" s="5" t="n">
        <f aca="false">C13*C13</f>
        <v>64</v>
      </c>
      <c r="G13" s="18" t="n">
        <f aca="false">E13*E13</f>
        <v>0.0238505872219673</v>
      </c>
      <c r="H13" s="18" t="n">
        <f aca="false">E13*C13</f>
        <v>1.23549082643535</v>
      </c>
    </row>
    <row r="14" customFormat="false" ht="15" hidden="false" customHeight="false" outlineLevel="0" collapsed="false">
      <c r="B14" s="5" t="n">
        <v>9</v>
      </c>
      <c r="C14" s="5" t="n">
        <v>9</v>
      </c>
      <c r="D14" s="18" t="n">
        <f aca="false">K3</f>
        <v>2.142</v>
      </c>
      <c r="E14" s="18" t="n">
        <f aca="false">LN(D14)</f>
        <v>0.761739972025557</v>
      </c>
      <c r="F14" s="5" t="n">
        <f aca="false">C14*C14</f>
        <v>81</v>
      </c>
      <c r="G14" s="18" t="n">
        <f aca="false">E14*E14</f>
        <v>0.580247784981496</v>
      </c>
      <c r="H14" s="18" t="n">
        <f aca="false">E14*C14</f>
        <v>6.85565974823001</v>
      </c>
    </row>
    <row r="15" customFormat="false" ht="15" hidden="false" customHeight="false" outlineLevel="0" collapsed="false">
      <c r="B15" s="5" t="n">
        <v>10</v>
      </c>
      <c r="C15" s="5" t="n">
        <v>10</v>
      </c>
      <c r="D15" s="18" t="n">
        <f aca="false">L3</f>
        <v>2.028</v>
      </c>
      <c r="E15" s="18" t="n">
        <f aca="false">LN(D15)</f>
        <v>0.707050085728937</v>
      </c>
      <c r="F15" s="5" t="n">
        <f aca="false">C15*C15</f>
        <v>100</v>
      </c>
      <c r="G15" s="18" t="n">
        <f aca="false">E15*E15</f>
        <v>0.499919823729297</v>
      </c>
      <c r="H15" s="18" t="n">
        <f aca="false">E15*C15</f>
        <v>7.07050085728937</v>
      </c>
    </row>
    <row r="16" customFormat="false" ht="15" hidden="false" customHeight="false" outlineLevel="0" collapsed="false">
      <c r="B16" s="5" t="n">
        <v>11</v>
      </c>
      <c r="C16" s="5" t="n">
        <v>11</v>
      </c>
      <c r="D16" s="18" t="n">
        <f aca="false">M3</f>
        <v>2.992</v>
      </c>
      <c r="E16" s="18" t="n">
        <f aca="false">LN(D16)</f>
        <v>1.09594206011223</v>
      </c>
      <c r="F16" s="5" t="n">
        <f aca="false">C16*C16</f>
        <v>121</v>
      </c>
      <c r="G16" s="18" t="n">
        <f aca="false">E16*E16</f>
        <v>1.20108899912304</v>
      </c>
      <c r="H16" s="18" t="n">
        <f aca="false">E16*C16</f>
        <v>12.0553626612345</v>
      </c>
    </row>
    <row r="17" customFormat="false" ht="15" hidden="false" customHeight="false" outlineLevel="0" collapsed="false">
      <c r="B17" s="5" t="n">
        <v>12</v>
      </c>
      <c r="C17" s="5" t="n">
        <v>12</v>
      </c>
      <c r="D17" s="18" t="n">
        <f aca="false">N3</f>
        <v>0.715</v>
      </c>
      <c r="E17" s="18" t="n">
        <f aca="false">LN(D17)</f>
        <v>-0.335472736288129</v>
      </c>
      <c r="F17" s="5" t="n">
        <f aca="false">C17*C17</f>
        <v>144</v>
      </c>
      <c r="G17" s="18" t="n">
        <f aca="false">E17*E17</f>
        <v>0.112541956792645</v>
      </c>
      <c r="H17" s="18" t="n">
        <f aca="false">E17*C17</f>
        <v>-4.02567283545755</v>
      </c>
    </row>
    <row r="18" customFormat="false" ht="15" hidden="false" customHeight="false" outlineLevel="0" collapsed="false">
      <c r="B18" s="33" t="s">
        <v>16</v>
      </c>
      <c r="C18" s="5" t="n">
        <f aca="false">SUM(C6:C17)</f>
        <v>78</v>
      </c>
      <c r="D18" s="18" t="n">
        <f aca="false">SUM(D6:D17)</f>
        <v>42.641</v>
      </c>
      <c r="E18" s="18" t="n">
        <f aca="false">SUM(E6:E17)</f>
        <v>12.6608810249686</v>
      </c>
      <c r="F18" s="5" t="n">
        <f aca="false">SUM(F6:F17)</f>
        <v>650</v>
      </c>
      <c r="G18" s="18" t="n">
        <f aca="false">SUM(G6:G17)</f>
        <v>18.8757304943365</v>
      </c>
      <c r="H18" s="18" t="n">
        <f aca="false">SUM(H6:H17)</f>
        <v>58.4249304037013</v>
      </c>
    </row>
    <row r="19" customFormat="false" ht="15" hidden="false" customHeight="false" outlineLevel="0" collapsed="false">
      <c r="B19" s="33" t="s">
        <v>17</v>
      </c>
      <c r="C19" s="5" t="n">
        <f aca="false">C18/$B$17</f>
        <v>6.5</v>
      </c>
      <c r="D19" s="18" t="n">
        <f aca="false">D18/$B$17</f>
        <v>3.55341666666667</v>
      </c>
      <c r="E19" s="18" t="n">
        <f aca="false">E18/$B$17</f>
        <v>1.05507341874738</v>
      </c>
      <c r="F19" s="18" t="n">
        <f aca="false">F18/$B$17</f>
        <v>54.1666666666667</v>
      </c>
      <c r="G19" s="18" t="n">
        <f aca="false">G18/$B$17</f>
        <v>1.57297754119471</v>
      </c>
      <c r="H19" s="18" t="n">
        <f aca="false">H18/$B$17</f>
        <v>4.86874420030844</v>
      </c>
    </row>
    <row r="22" customFormat="false" ht="15" hidden="false" customHeight="false" outlineLevel="0" collapsed="false">
      <c r="B22" s="26" t="s">
        <v>36</v>
      </c>
      <c r="C22" s="28" t="n">
        <f aca="false">(E18*F18-C18*H18)/(B17*F18-POWER(C18,2))</f>
        <v>2.14010961231986</v>
      </c>
    </row>
    <row r="23" customFormat="false" ht="15" hidden="false" customHeight="false" outlineLevel="0" collapsed="false">
      <c r="B23" s="34" t="s">
        <v>37</v>
      </c>
      <c r="C23" s="35" t="n">
        <f aca="false">(B17*H18-C18*E18)/(B17*F18-POWER(C18,2))</f>
        <v>-0.166928645164997</v>
      </c>
    </row>
    <row r="25" customFormat="false" ht="15" hidden="false" customHeight="false" outlineLevel="0" collapsed="false">
      <c r="B25" s="26" t="s">
        <v>38</v>
      </c>
      <c r="C25" s="32" t="n">
        <f aca="false">EXP(C22)</f>
        <v>8.50036932302378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2024-04-07T11:15:07Z</dcterms:created>
  <dc:creator/>
  <dc:description/>
  <dc:language>ru-RU</dc:language>
  <cp:lastModifiedBy/>
  <dcterms:modified xsi:type="dcterms:W3CDTF">2024-06-27T10:49:23Z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