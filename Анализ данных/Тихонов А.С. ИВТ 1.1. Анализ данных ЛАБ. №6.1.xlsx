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<sst xmlns="http://schemas.openxmlformats.org/spreadsheetml/2006/main" count="40" uniqueCount="32">
  <si>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 xml:space="preserve">Интервал прочности, кг/см^2</t>
  </si>
  <si>
    <t xml:space="preserve">Среднее значение интервала, x_i</t>
  </si>
  <si>
    <t xml:space="preserve">Частота, n_i</t>
  </si>
  <si>
    <t xml:space="preserve">x_i * n_i</t>
  </si>
  <si>
    <t xml:space="preserve">x_i - x_ср</t>
  </si>
  <si>
    <t xml:space="preserve">(x_i - x_ср)^2 * n_i</t>
  </si>
  <si>
    <t xml:space="preserve">u_i</t>
  </si>
  <si>
    <t xml:space="preserve">Ф_i</t>
  </si>
  <si>
    <t xml:space="preserve">190-200</t>
  </si>
  <si>
    <t xml:space="preserve">200-210</t>
  </si>
  <si>
    <t xml:space="preserve">210-220</t>
  </si>
  <si>
    <t xml:space="preserve">220-230</t>
  </si>
  <si>
    <t xml:space="preserve">230-240</t>
  </si>
  <si>
    <t xml:space="preserve">240-250</t>
  </si>
  <si>
    <t xml:space="preserve">n =</t>
  </si>
  <si>
    <t xml:space="preserve">x_ср =</t>
  </si>
  <si>
    <t xml:space="preserve">σ =</t>
  </si>
  <si>
    <t xml:space="preserve">X^2_пр =</t>
  </si>
  <si>
    <t xml:space="preserve">Нормированные интервалы, [u_i; u_i + 1]</t>
  </si>
  <si>
    <t xml:space="preserve">p_i</t>
  </si>
  <si>
    <t xml:space="preserve">n * p_i</t>
  </si>
  <si>
    <t xml:space="preserve">(n_i - n*p_i)^2</t>
  </si>
  <si>
    <t xml:space="preserve">(n_i - n*p_i)^2/           /n * p_i</t>
  </si>
  <si>
    <t xml:space="preserve">(-∞;  -1,70)</t>
  </si>
  <si>
    <t xml:space="preserve">[-1,70 ; -0,89]</t>
  </si>
  <si>
    <t xml:space="preserve">[-0,89 ; -0,08]</t>
  </si>
  <si>
    <t xml:space="preserve">[-0,08 ; 0,73]</t>
  </si>
  <si>
    <t xml:space="preserve">[0,73 ; 1,54]</t>
  </si>
  <si>
    <t xml:space="preserve">[1,54 ; +∞)</t>
  </si>
  <si>
    <t xml:space="preserve">Σ</t>
  </si>
  <si>
    <t xml:space="preserve">---</t>
  </si>
  <si>
    <t xml:space="preserve">X^2_расч ↑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</si>
</sst>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0.000"/>
    <numFmt numFmtId="168" formatCode="0"/>
    <numFmt numFmtId="169" formatCode="0.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2"/>
      <charset val="1"/>
    </font>
    <font>
      <sz val="12"/>
      <color rgb="FF33333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6C6C"/>
        <bgColor rgb="FFFF6600"/>
      </patternFill>
    </fill>
    <fill>
      <patternFill patternType="solid">
        <fgColor rgb="FFFF00FF"/>
        <bgColor rgb="FFFF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C6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18.42"/>
    <col collapsed="false" customWidth="true" hidden="false" outlineLevel="0" max="2" min="2" style="1" width="18.15"/>
    <col collapsed="false" customWidth="true" hidden="false" outlineLevel="0" max="3" min="3" style="1" width="22.29"/>
    <col collapsed="false" customWidth="true" hidden="false" outlineLevel="0" max="4" min="4" style="1" width="17"/>
    <col collapsed="false" customWidth="false" hidden="false" outlineLevel="0" max="5" min="5" style="2" width="8.48"/>
    <col collapsed="false" customWidth="true" hidden="false" outlineLevel="0" max="6" min="6" style="1" width="12.57"/>
    <col collapsed="false" customWidth="true" hidden="false" outlineLevel="0" max="7" min="7" style="1" width="14.29"/>
    <col collapsed="false" customWidth="false" hidden="false" outlineLevel="0" max="16384" min="8" style="2" width="8.48"/>
  </cols>
  <sheetData>
    <row r="1" customFormat="false" ht="31.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5" t="s">
        <v>8</v>
      </c>
      <c r="B2" s="5" t="n">
        <v>195</v>
      </c>
      <c r="C2" s="5" t="n">
        <v>10</v>
      </c>
      <c r="D2" s="5" t="n">
        <f aca="false">B2*C2</f>
        <v>1950</v>
      </c>
      <c r="E2" s="5" t="n">
        <f aca="false">B2-$B$11</f>
        <v>-26</v>
      </c>
      <c r="F2" s="5" t="n">
        <f aca="false">POWER(E2,2) * C2</f>
        <v>6760</v>
      </c>
      <c r="G2" s="6" t="n">
        <f aca="false">(190-$B$11)/$B$12</f>
        <v>-2.51443202752682</v>
      </c>
      <c r="H2" s="5" t="n">
        <v>-0.5</v>
      </c>
    </row>
    <row r="3" customFormat="false" ht="15" hidden="false" customHeight="false" outlineLevel="0" collapsed="false">
      <c r="A3" s="5" t="s">
        <v>9</v>
      </c>
      <c r="B3" s="5" t="n">
        <v>205</v>
      </c>
      <c r="C3" s="5" t="n">
        <v>26</v>
      </c>
      <c r="D3" s="5" t="n">
        <f aca="false">B3*C3</f>
        <v>5330</v>
      </c>
      <c r="E3" s="5" t="n">
        <f aca="false">B3-$B$11</f>
        <v>-16</v>
      </c>
      <c r="F3" s="5" t="n">
        <f aca="false">POWER(E3,2) * C3</f>
        <v>6656</v>
      </c>
      <c r="G3" s="6" t="n">
        <f aca="false">(200-$B$11)/$B$12</f>
        <v>-1.70332492187301</v>
      </c>
      <c r="H3" s="5" t="n">
        <v>-0.4554</v>
      </c>
    </row>
    <row r="4" customFormat="false" ht="15" hidden="false" customHeight="false" outlineLevel="0" collapsed="false">
      <c r="A4" s="5" t="s">
        <v>10</v>
      </c>
      <c r="B4" s="5" t="n">
        <v>215</v>
      </c>
      <c r="C4" s="5" t="n">
        <v>56</v>
      </c>
      <c r="D4" s="5" t="n">
        <f aca="false">B4*C4</f>
        <v>12040</v>
      </c>
      <c r="E4" s="5" t="n">
        <f aca="false">B4-$B$11</f>
        <v>-6</v>
      </c>
      <c r="F4" s="5" t="n">
        <f aca="false">POWER(E4,2) * C4</f>
        <v>2016</v>
      </c>
      <c r="G4" s="6" t="n">
        <f aca="false">(210-$B$11)/$B$12</f>
        <v>-0.892217816219194</v>
      </c>
      <c r="H4" s="5" t="n">
        <v>-0.3133</v>
      </c>
    </row>
    <row r="5" customFormat="false" ht="15" hidden="false" customHeight="false" outlineLevel="0" collapsed="false">
      <c r="A5" s="5" t="s">
        <v>11</v>
      </c>
      <c r="B5" s="5" t="n">
        <v>225</v>
      </c>
      <c r="C5" s="5" t="n">
        <v>64</v>
      </c>
      <c r="D5" s="5" t="n">
        <f aca="false">B5*C5</f>
        <v>14400</v>
      </c>
      <c r="E5" s="5" t="n">
        <f aca="false">B5-$B$11</f>
        <v>4</v>
      </c>
      <c r="F5" s="5" t="n">
        <f aca="false">POWER(E5,2) * C5</f>
        <v>1024</v>
      </c>
      <c r="G5" s="6" t="n">
        <f aca="false">(220-$B$11)/$B$12</f>
        <v>-0.0811107105653813</v>
      </c>
      <c r="H5" s="5" t="n">
        <v>-0.0319</v>
      </c>
    </row>
    <row r="6" customFormat="false" ht="15" hidden="false" customHeight="false" outlineLevel="0" collapsed="false">
      <c r="A6" s="5" t="s">
        <v>12</v>
      </c>
      <c r="B6" s="5" t="n">
        <v>235</v>
      </c>
      <c r="C6" s="5" t="n">
        <v>30</v>
      </c>
      <c r="D6" s="5" t="n">
        <f aca="false">B6*C6</f>
        <v>7050</v>
      </c>
      <c r="E6" s="5" t="n">
        <f aca="false">B6-$B$11</f>
        <v>14</v>
      </c>
      <c r="F6" s="5" t="n">
        <f aca="false">POWER(E6,2) * C6</f>
        <v>5880</v>
      </c>
      <c r="G6" s="6" t="n">
        <f aca="false">(230-$B$11)/$B$12</f>
        <v>0.729996395088432</v>
      </c>
      <c r="H6" s="5" t="n">
        <v>0.2673</v>
      </c>
    </row>
    <row r="7" customFormat="false" ht="15" hidden="false" customHeight="false" outlineLevel="0" collapsed="false">
      <c r="A7" s="5" t="s">
        <v>13</v>
      </c>
      <c r="B7" s="5" t="n">
        <v>245</v>
      </c>
      <c r="C7" s="5" t="n">
        <v>14</v>
      </c>
      <c r="D7" s="5" t="n">
        <f aca="false">B7*C7</f>
        <v>3430</v>
      </c>
      <c r="E7" s="5" t="n">
        <f aca="false">B7-$B$11</f>
        <v>24</v>
      </c>
      <c r="F7" s="5" t="n">
        <f aca="false">POWER(E7,2) * C7</f>
        <v>8064</v>
      </c>
      <c r="G7" s="6" t="n">
        <f aca="false">(240-$B$11)/$B$12</f>
        <v>1.54110350074224</v>
      </c>
      <c r="H7" s="5" t="n">
        <v>0.4382</v>
      </c>
    </row>
    <row r="8" customFormat="false" ht="15" hidden="false" customHeight="false" outlineLevel="0" collapsed="false">
      <c r="E8" s="1"/>
      <c r="H8" s="1"/>
    </row>
    <row r="9" customFormat="false" ht="15" hidden="false" customHeight="false" outlineLevel="0" collapsed="false">
      <c r="E9" s="1"/>
      <c r="H9" s="1"/>
    </row>
    <row r="10" customFormat="false" ht="15" hidden="false" customHeight="false" outlineLevel="0" collapsed="false">
      <c r="A10" s="7" t="s">
        <v>14</v>
      </c>
      <c r="B10" s="8" t="n">
        <f aca="false">SUM(C2:C7)</f>
        <v>200</v>
      </c>
      <c r="E10" s="1"/>
      <c r="H10" s="1"/>
    </row>
    <row r="11" customFormat="false" ht="15" hidden="false" customHeight="false" outlineLevel="0" collapsed="false">
      <c r="A11" s="7" t="s">
        <v>15</v>
      </c>
      <c r="B11" s="8" t="n">
        <f aca="false">SUM(D2:D7)/B10</f>
        <v>221</v>
      </c>
      <c r="E11" s="1"/>
      <c r="H11" s="1"/>
    </row>
    <row r="12" customFormat="false" ht="15" hidden="false" customHeight="false" outlineLevel="0" collapsed="false">
      <c r="A12" s="9" t="s">
        <v>16</v>
      </c>
      <c r="B12" s="10" t="n">
        <f aca="false">SQRT((1/B10)*SUM(F2:F7))</f>
        <v>12.328828005938</v>
      </c>
      <c r="E12" s="1"/>
      <c r="H12" s="1"/>
    </row>
    <row r="13" customFormat="false" ht="15" hidden="false" customHeight="false" outlineLevel="0" collapsed="false">
      <c r="E13" s="1"/>
      <c r="H13" s="1"/>
    </row>
    <row r="14" customFormat="false" ht="15" hidden="false" customHeight="false" outlineLevel="0" collapsed="false">
      <c r="A14" s="11" t="s">
        <v>17</v>
      </c>
      <c r="B14" s="12" t="n">
        <v>16.266</v>
      </c>
      <c r="E14" s="1"/>
      <c r="H14" s="1"/>
    </row>
    <row r="15" customFormat="false" ht="15" hidden="false" customHeight="false" outlineLevel="0" collapsed="false">
      <c r="E15" s="1"/>
      <c r="H15" s="1"/>
    </row>
    <row r="16" customFormat="false" ht="15" hidden="false" customHeight="false" outlineLevel="0" collapsed="false">
      <c r="E16" s="1"/>
      <c r="H16" s="1"/>
    </row>
    <row r="17" customFormat="false" ht="25.3" hidden="false" customHeight="false" outlineLevel="0" collapsed="false">
      <c r="A17" s="3" t="s">
        <v>0</v>
      </c>
      <c r="B17" s="3" t="s">
        <v>2</v>
      </c>
      <c r="C17" s="3" t="s">
        <v>18</v>
      </c>
      <c r="D17" s="4" t="s">
        <v>19</v>
      </c>
      <c r="E17" s="4" t="s">
        <v>20</v>
      </c>
      <c r="F17" s="4" t="s">
        <v>21</v>
      </c>
      <c r="G17" s="3" t="s">
        <v>22</v>
      </c>
      <c r="H17" s="1"/>
    </row>
    <row r="18" customFormat="false" ht="15" hidden="false" customHeight="false" outlineLevel="0" collapsed="false">
      <c r="A18" s="5" t="s">
        <v>8</v>
      </c>
      <c r="B18" s="5" t="n">
        <v>10</v>
      </c>
      <c r="C18" s="5" t="s">
        <v>23</v>
      </c>
      <c r="D18" s="13" t="n">
        <f aca="false">H3-H2</f>
        <v>0.0446</v>
      </c>
      <c r="E18" s="14" t="n">
        <f aca="false">$B$10*D18</f>
        <v>8.92</v>
      </c>
      <c r="F18" s="14" t="n">
        <f aca="false">POWER((B18-E18),2)</f>
        <v>1.16640000000001</v>
      </c>
      <c r="G18" s="6" t="n">
        <f aca="false">F18/E18</f>
        <v>0.130762331838566</v>
      </c>
      <c r="H18" s="1"/>
      <c r="I18" s="15"/>
    </row>
    <row r="19" customFormat="false" ht="15" hidden="false" customHeight="false" outlineLevel="0" collapsed="false">
      <c r="A19" s="5" t="s">
        <v>9</v>
      </c>
      <c r="B19" s="5" t="n">
        <v>26</v>
      </c>
      <c r="C19" s="5" t="s">
        <v>24</v>
      </c>
      <c r="D19" s="13" t="n">
        <f aca="false">H4-H3</f>
        <v>0.1421</v>
      </c>
      <c r="E19" s="16" t="n">
        <f aca="false">$B$10*D19</f>
        <v>28.42</v>
      </c>
      <c r="F19" s="6" t="n">
        <f aca="false">POWER((B19-E19),2)</f>
        <v>5.85640000000001</v>
      </c>
      <c r="G19" s="6" t="n">
        <f aca="false">F19/E19</f>
        <v>0.206066150598171</v>
      </c>
      <c r="H19" s="1"/>
      <c r="I19" s="17"/>
    </row>
    <row r="20" customFormat="false" ht="15" hidden="false" customHeight="false" outlineLevel="0" collapsed="false">
      <c r="A20" s="5" t="s">
        <v>10</v>
      </c>
      <c r="B20" s="5" t="n">
        <v>56</v>
      </c>
      <c r="C20" s="5" t="s">
        <v>25</v>
      </c>
      <c r="D20" s="13" t="n">
        <f aca="false">H5-H4</f>
        <v>0.2814</v>
      </c>
      <c r="E20" s="16" t="n">
        <f aca="false">$B$10*D20</f>
        <v>56.28</v>
      </c>
      <c r="F20" s="6" t="n">
        <f aca="false">POWER((B20-E20),2)</f>
        <v>0.0784000000000046</v>
      </c>
      <c r="G20" s="6" t="n">
        <f aca="false">F20/E20</f>
        <v>0.00139303482587073</v>
      </c>
      <c r="H20" s="1"/>
      <c r="I20" s="15"/>
    </row>
    <row r="21" customFormat="false" ht="15" hidden="false" customHeight="false" outlineLevel="0" collapsed="false">
      <c r="A21" s="5" t="s">
        <v>11</v>
      </c>
      <c r="B21" s="5" t="n">
        <v>64</v>
      </c>
      <c r="C21" s="5" t="s">
        <v>26</v>
      </c>
      <c r="D21" s="13" t="n">
        <f aca="false">H6-H5</f>
        <v>0.2992</v>
      </c>
      <c r="E21" s="16" t="n">
        <f aca="false">$B$10*D21</f>
        <v>59.84</v>
      </c>
      <c r="F21" s="6" t="n">
        <f aca="false">POWER((B21-E21),2)</f>
        <v>17.3056</v>
      </c>
      <c r="G21" s="6" t="n">
        <f aca="false">F21/E21</f>
        <v>0.289197860962567</v>
      </c>
      <c r="H21" s="1"/>
      <c r="I21" s="15"/>
    </row>
    <row r="22" customFormat="false" ht="15" hidden="false" customHeight="false" outlineLevel="0" collapsed="false">
      <c r="A22" s="5" t="s">
        <v>12</v>
      </c>
      <c r="B22" s="5" t="n">
        <v>30</v>
      </c>
      <c r="C22" s="5" t="s">
        <v>27</v>
      </c>
      <c r="D22" s="13" t="n">
        <f aca="false">H7-H6</f>
        <v>0.1709</v>
      </c>
      <c r="E22" s="16" t="n">
        <f aca="false">$B$10*D22</f>
        <v>34.18</v>
      </c>
      <c r="F22" s="6" t="n">
        <f aca="false">POWER((B22-E22),2)</f>
        <v>17.4724</v>
      </c>
      <c r="G22" s="6" t="n">
        <f aca="false">F22/E22</f>
        <v>0.511187829139848</v>
      </c>
      <c r="H22" s="1"/>
      <c r="I22" s="15"/>
    </row>
    <row r="23" customFormat="false" ht="15" hidden="false" customHeight="false" outlineLevel="0" collapsed="false">
      <c r="A23" s="5" t="s">
        <v>13</v>
      </c>
      <c r="B23" s="5" t="n">
        <v>14</v>
      </c>
      <c r="C23" s="5" t="s">
        <v>28</v>
      </c>
      <c r="D23" s="13" t="n">
        <f aca="false">0.5-H7</f>
        <v>0.0618</v>
      </c>
      <c r="E23" s="16" t="n">
        <f aca="false">$B$10*D23</f>
        <v>12.36</v>
      </c>
      <c r="F23" s="6" t="n">
        <f aca="false">POWER((B23-E23),2)</f>
        <v>2.68959999999998</v>
      </c>
      <c r="G23" s="6" t="n">
        <f aca="false">F23/E23</f>
        <v>0.217605177993526</v>
      </c>
      <c r="H23" s="1"/>
      <c r="I23" s="15"/>
    </row>
    <row r="24" customFormat="false" ht="15" hidden="false" customHeight="false" outlineLevel="0" collapsed="false">
      <c r="A24" s="18" t="s">
        <v>29</v>
      </c>
      <c r="B24" s="5" t="n">
        <f aca="false">SUM(B18:B23)</f>
        <v>200</v>
      </c>
      <c r="C24" s="19" t="s">
        <v>30</v>
      </c>
      <c r="D24" s="13" t="n">
        <f aca="false">SUM(D18:D23)</f>
        <v>1</v>
      </c>
      <c r="E24" s="16" t="n">
        <f aca="false">SUM(E18:E23)</f>
        <v>200</v>
      </c>
      <c r="F24" s="5"/>
      <c r="G24" s="6" t="n">
        <f aca="false">SUM(G18:G23)</f>
        <v>1.35621238535855</v>
      </c>
      <c r="H24" s="1"/>
    </row>
    <row r="25" customFormat="false" ht="15" hidden="false" customHeight="false" outlineLevel="0" collapsed="false">
      <c r="E25" s="1"/>
      <c r="G25" s="20" t="s">
        <v>31</v>
      </c>
      <c r="H25" s="1"/>
    </row>
    <row r="26" customFormat="false" ht="15" hidden="false" customHeight="false" outlineLevel="0" collapsed="false">
      <c r="E26" s="1"/>
      <c r="H26" s="1"/>
    </row>
    <row r="27" customFormat="false" ht="15" hidden="false" customHeight="false" outlineLevel="0" collapsed="false">
      <c r="E27" s="1"/>
      <c r="H2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2024-02-26T08:07:57Z</dcterms:created>
  <dc:creator/>
  <dc:description/>
  <dc:language>ru-RU</dc:language>
  <cp:lastModifiedBy/>
  <dcterms:modified xsi:type="dcterms:W3CDTF">2024-06-27T09:52:42Z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