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 activeTab="1"/>
  </bookViews>
  <sheets>
    <sheet name="1.1" sheetId="1" r:id="rId1"/>
    <sheet name="1.2" sheetId="2" r:id="rId2"/>
    <sheet name="1.3" sheetId="3" r:id="rId3"/>
    <sheet name="1.4" sheetId="4" r:id="rId4"/>
    <sheet name="Лист2" sheetId="5" r:id="rId5"/>
  </sheets>
  <calcPr calcId="145621"/>
</workbook>
</file>

<file path=xl/calcChain.xml><?xml version="1.0" encoding="utf-8"?>
<calcChain xmlns="http://schemas.openxmlformats.org/spreadsheetml/2006/main">
  <c r="L12" i="5" l="1"/>
  <c r="K12" i="5"/>
  <c r="J12" i="5"/>
  <c r="I12" i="5"/>
  <c r="H12" i="5"/>
  <c r="G12" i="5"/>
  <c r="F12" i="5"/>
  <c r="E12" i="5"/>
  <c r="D12" i="5"/>
  <c r="C12" i="5"/>
  <c r="B12" i="5"/>
  <c r="L11" i="5"/>
  <c r="K11" i="5"/>
  <c r="J11" i="5"/>
  <c r="I11" i="5"/>
  <c r="H11" i="5"/>
  <c r="G11" i="5"/>
  <c r="F11" i="5"/>
  <c r="E11" i="5"/>
  <c r="D11" i="5"/>
  <c r="C11" i="5"/>
  <c r="B11" i="5"/>
  <c r="L10" i="5"/>
  <c r="K10" i="5"/>
  <c r="J10" i="5"/>
  <c r="I10" i="5"/>
  <c r="H10" i="5"/>
  <c r="G10" i="5"/>
  <c r="F10" i="5"/>
  <c r="E10" i="5"/>
  <c r="D10" i="5"/>
  <c r="C10" i="5"/>
  <c r="B10" i="5"/>
  <c r="L9" i="5"/>
  <c r="K9" i="5"/>
  <c r="J9" i="5"/>
  <c r="I9" i="5"/>
  <c r="H9" i="5"/>
  <c r="G9" i="5"/>
  <c r="F9" i="5"/>
  <c r="E9" i="5"/>
  <c r="D9" i="5"/>
  <c r="C9" i="5"/>
  <c r="B9" i="5"/>
  <c r="L8" i="5"/>
  <c r="K8" i="5"/>
  <c r="J8" i="5"/>
  <c r="I8" i="5"/>
  <c r="H8" i="5"/>
  <c r="G8" i="5"/>
  <c r="F8" i="5"/>
  <c r="E8" i="5"/>
  <c r="D8" i="5"/>
  <c r="C8" i="5"/>
  <c r="B8" i="5"/>
  <c r="L7" i="5"/>
  <c r="K7" i="5"/>
  <c r="J7" i="5"/>
  <c r="I7" i="5"/>
  <c r="H7" i="5"/>
  <c r="G7" i="5"/>
  <c r="F7" i="5"/>
  <c r="E7" i="5"/>
  <c r="D7" i="5"/>
  <c r="C7" i="5"/>
  <c r="B7" i="5"/>
  <c r="L6" i="5"/>
  <c r="K6" i="5"/>
  <c r="J6" i="5"/>
  <c r="I6" i="5"/>
  <c r="H6" i="5"/>
  <c r="G6" i="5"/>
  <c r="F6" i="5"/>
  <c r="E6" i="5"/>
  <c r="D6" i="5"/>
  <c r="C6" i="5"/>
  <c r="B6" i="5"/>
  <c r="L5" i="5"/>
  <c r="K5" i="5"/>
  <c r="J5" i="5"/>
  <c r="I5" i="5"/>
  <c r="H5" i="5"/>
  <c r="G5" i="5"/>
  <c r="F5" i="5"/>
  <c r="E5" i="5"/>
  <c r="D5" i="5"/>
  <c r="C5" i="5"/>
  <c r="B5" i="5"/>
  <c r="L4" i="5"/>
  <c r="K4" i="5"/>
  <c r="J4" i="5"/>
  <c r="I4" i="5"/>
  <c r="H4" i="5"/>
  <c r="G4" i="5"/>
  <c r="F4" i="5"/>
  <c r="E4" i="5"/>
  <c r="D4" i="5"/>
  <c r="C4" i="5"/>
  <c r="B4" i="5"/>
  <c r="L3" i="5"/>
  <c r="K3" i="5"/>
  <c r="J3" i="5"/>
  <c r="I3" i="5"/>
  <c r="H3" i="5"/>
  <c r="G3" i="5"/>
  <c r="F3" i="5"/>
  <c r="E3" i="5"/>
  <c r="D3" i="5"/>
  <c r="C3" i="5"/>
  <c r="B3" i="5"/>
  <c r="L2" i="5"/>
  <c r="K2" i="5"/>
  <c r="J2" i="5"/>
  <c r="I2" i="5"/>
  <c r="H2" i="5"/>
  <c r="G2" i="5"/>
  <c r="F2" i="5"/>
  <c r="E2" i="5"/>
  <c r="D2" i="5"/>
  <c r="C2" i="5"/>
  <c r="B2" i="5"/>
  <c r="C2" i="4"/>
  <c r="B2" i="4"/>
  <c r="B1" i="4"/>
  <c r="A2" i="4" s="1"/>
  <c r="A1" i="4" l="1"/>
  <c r="B2" i="3"/>
  <c r="C2" i="3"/>
  <c r="D2" i="3"/>
  <c r="E2" i="3"/>
  <c r="F2" i="3"/>
  <c r="G2" i="3"/>
  <c r="A2" i="3"/>
  <c r="A1" i="3"/>
  <c r="B1" i="3"/>
  <c r="B2" i="2"/>
  <c r="C2" i="2"/>
  <c r="D2" i="2"/>
  <c r="E2" i="2"/>
  <c r="F2" i="2"/>
  <c r="G2" i="2"/>
  <c r="A2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₽_-;\-* #,##0.00\ _₽_-;_-* &quot;-&quot;??\ _₽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" fontId="0" fillId="0" borderId="0" xfId="0" applyNumberFormat="1"/>
    <xf numFmtId="43" fontId="0" fillId="0" borderId="0" xfId="1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599518810148736E-2"/>
          <c:y val="2.8252405949256341E-2"/>
          <c:w val="0.73185870516185481"/>
          <c:h val="0.89719889180519097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'1.1'!$A$2:$K$2</c:f>
              <c:numCache>
                <c:formatCode>General</c:formatCode>
                <c:ptCount val="11"/>
                <c:pt idx="0">
                  <c:v>-4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32</c:v>
                </c:pt>
                <c:pt idx="10">
                  <c:v>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831936"/>
        <c:axId val="201833472"/>
      </c:lineChart>
      <c:catAx>
        <c:axId val="201831936"/>
        <c:scaling>
          <c:orientation val="minMax"/>
        </c:scaling>
        <c:delete val="0"/>
        <c:axPos val="b"/>
        <c:majorTickMark val="out"/>
        <c:minorTickMark val="none"/>
        <c:tickLblPos val="nextTo"/>
        <c:crossAx val="201833472"/>
        <c:crosses val="autoZero"/>
        <c:auto val="1"/>
        <c:lblAlgn val="ctr"/>
        <c:lblOffset val="100"/>
        <c:noMultiLvlLbl val="0"/>
      </c:catAx>
      <c:valAx>
        <c:axId val="2018334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18319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yVal>
            <c:numRef>
              <c:f>'1.2'!$A$2:$G$2</c:f>
              <c:numCache>
                <c:formatCode>General</c:formatCode>
                <c:ptCount val="7"/>
                <c:pt idx="0">
                  <c:v>111</c:v>
                </c:pt>
                <c:pt idx="1">
                  <c:v>115</c:v>
                </c:pt>
                <c:pt idx="2">
                  <c:v>118</c:v>
                </c:pt>
                <c:pt idx="3">
                  <c:v>120</c:v>
                </c:pt>
                <c:pt idx="4">
                  <c:v>125</c:v>
                </c:pt>
                <c:pt idx="5">
                  <c:v>130</c:v>
                </c:pt>
                <c:pt idx="6">
                  <c:v>110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882048"/>
        <c:axId val="202900224"/>
      </c:scatterChart>
      <c:valAx>
        <c:axId val="202882048"/>
        <c:scaling>
          <c:orientation val="minMax"/>
        </c:scaling>
        <c:delete val="0"/>
        <c:axPos val="b"/>
        <c:majorTickMark val="out"/>
        <c:minorTickMark val="none"/>
        <c:tickLblPos val="nextTo"/>
        <c:crossAx val="202900224"/>
        <c:crosses val="autoZero"/>
        <c:crossBetween val="midCat"/>
      </c:valAx>
      <c:valAx>
        <c:axId val="202900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288204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yVal>
            <c:numRef>
              <c:f>'1.3'!$A$2:$G$2</c:f>
              <c:numCache>
                <c:formatCode>General</c:formatCode>
                <c:ptCount val="7"/>
                <c:pt idx="0">
                  <c:v>23.666666666666668</c:v>
                </c:pt>
                <c:pt idx="1">
                  <c:v>24.333333333333336</c:v>
                </c:pt>
                <c:pt idx="2">
                  <c:v>25.666666666666668</c:v>
                </c:pt>
                <c:pt idx="3">
                  <c:v>28.333333333333336</c:v>
                </c:pt>
                <c:pt idx="4">
                  <c:v>33.666666666666671</c:v>
                </c:pt>
                <c:pt idx="5">
                  <c:v>44.333333333333343</c:v>
                </c:pt>
                <c:pt idx="6">
                  <c:v>65.666666666666686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61664"/>
        <c:axId val="202963200"/>
      </c:scatterChart>
      <c:valAx>
        <c:axId val="202961664"/>
        <c:scaling>
          <c:orientation val="minMax"/>
        </c:scaling>
        <c:delete val="0"/>
        <c:axPos val="b"/>
        <c:majorTickMark val="out"/>
        <c:minorTickMark val="none"/>
        <c:tickLblPos val="nextTo"/>
        <c:crossAx val="202963200"/>
        <c:crosses val="autoZero"/>
        <c:crossBetween val="midCat"/>
      </c:valAx>
      <c:valAx>
        <c:axId val="2029632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296166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5030183727034119E-2"/>
          <c:y val="5.6030183727034118E-2"/>
          <c:w val="0.71587948381452315"/>
          <c:h val="0.8326195683872849"/>
        </c:manualLayout>
      </c:layout>
      <c:scatterChart>
        <c:scatterStyle val="lineMarker"/>
        <c:varyColors val="0"/>
        <c:ser>
          <c:idx val="0"/>
          <c:order val="0"/>
          <c:marker>
            <c:symbol val="none"/>
          </c:marker>
          <c:yVal>
            <c:numRef>
              <c:f>'1.4'!$A$2:$C$2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014144"/>
        <c:axId val="203015680"/>
      </c:scatterChart>
      <c:valAx>
        <c:axId val="203014144"/>
        <c:scaling>
          <c:orientation val="minMax"/>
        </c:scaling>
        <c:delete val="0"/>
        <c:axPos val="b"/>
        <c:majorTickMark val="out"/>
        <c:minorTickMark val="none"/>
        <c:tickLblPos val="nextTo"/>
        <c:crossAx val="203015680"/>
        <c:crosses val="autoZero"/>
        <c:crossBetween val="midCat"/>
      </c:valAx>
      <c:valAx>
        <c:axId val="2030156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301414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4005643044619424"/>
          <c:y val="2.8252405949256341E-2"/>
          <c:w val="0.71624212598425196"/>
          <c:h val="0.89719889180519097"/>
        </c:manualLayout>
      </c:layout>
      <c:surface3DChart>
        <c:wireframe val="0"/>
        <c:ser>
          <c:idx val="0"/>
          <c:order val="0"/>
          <c:tx>
            <c:strRef>
              <c:f>Лист2!$A$2</c:f>
              <c:strCache>
                <c:ptCount val="1"/>
                <c:pt idx="0">
                  <c:v>-5</c:v>
                </c:pt>
              </c:strCache>
            </c:strRef>
          </c:tx>
          <c:cat>
            <c:numRef>
              <c:f>Лист2!$B$1:$L$1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Лист2!$B$2:$L$2</c:f>
              <c:numCache>
                <c:formatCode>General</c:formatCode>
                <c:ptCount val="11"/>
                <c:pt idx="0">
                  <c:v>31.25</c:v>
                </c:pt>
                <c:pt idx="1">
                  <c:v>11</c:v>
                </c:pt>
                <c:pt idx="2">
                  <c:v>-4.75</c:v>
                </c:pt>
                <c:pt idx="3">
                  <c:v>-16</c:v>
                </c:pt>
                <c:pt idx="4">
                  <c:v>-22.75</c:v>
                </c:pt>
                <c:pt idx="5">
                  <c:v>-25</c:v>
                </c:pt>
                <c:pt idx="6">
                  <c:v>-22.75</c:v>
                </c:pt>
                <c:pt idx="7">
                  <c:v>-16</c:v>
                </c:pt>
                <c:pt idx="8">
                  <c:v>-4.75</c:v>
                </c:pt>
                <c:pt idx="9">
                  <c:v>11</c:v>
                </c:pt>
                <c:pt idx="10">
                  <c:v>31.25</c:v>
                </c:pt>
              </c:numCache>
            </c:numRef>
          </c:val>
        </c:ser>
        <c:ser>
          <c:idx val="1"/>
          <c:order val="1"/>
          <c:tx>
            <c:strRef>
              <c:f>Лист2!$A$3</c:f>
              <c:strCache>
                <c:ptCount val="1"/>
                <c:pt idx="0">
                  <c:v>-4</c:v>
                </c:pt>
              </c:strCache>
            </c:strRef>
          </c:tx>
          <c:cat>
            <c:numRef>
              <c:f>Лист2!$B$1:$L$1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Лист2!$B$3:$L$3</c:f>
              <c:numCache>
                <c:formatCode>General</c:formatCode>
                <c:ptCount val="11"/>
                <c:pt idx="0">
                  <c:v>40.25</c:v>
                </c:pt>
                <c:pt idx="1">
                  <c:v>20</c:v>
                </c:pt>
                <c:pt idx="2">
                  <c:v>4.25</c:v>
                </c:pt>
                <c:pt idx="3">
                  <c:v>-7</c:v>
                </c:pt>
                <c:pt idx="4">
                  <c:v>-13.75</c:v>
                </c:pt>
                <c:pt idx="5">
                  <c:v>-16</c:v>
                </c:pt>
                <c:pt idx="6">
                  <c:v>-13.75</c:v>
                </c:pt>
                <c:pt idx="7">
                  <c:v>-7</c:v>
                </c:pt>
                <c:pt idx="8">
                  <c:v>4.25</c:v>
                </c:pt>
                <c:pt idx="9">
                  <c:v>20</c:v>
                </c:pt>
                <c:pt idx="10">
                  <c:v>40.25</c:v>
                </c:pt>
              </c:numCache>
            </c:numRef>
          </c:val>
        </c:ser>
        <c:ser>
          <c:idx val="2"/>
          <c:order val="2"/>
          <c:tx>
            <c:strRef>
              <c:f>Лист2!$A$4</c:f>
              <c:strCache>
                <c:ptCount val="1"/>
                <c:pt idx="0">
                  <c:v>-3</c:v>
                </c:pt>
              </c:strCache>
            </c:strRef>
          </c:tx>
          <c:cat>
            <c:numRef>
              <c:f>Лист2!$B$1:$L$1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Лист2!$B$4:$L$4</c:f>
              <c:numCache>
                <c:formatCode>General</c:formatCode>
                <c:ptCount val="11"/>
                <c:pt idx="0">
                  <c:v>47.25</c:v>
                </c:pt>
                <c:pt idx="1">
                  <c:v>27</c:v>
                </c:pt>
                <c:pt idx="2">
                  <c:v>11.25</c:v>
                </c:pt>
                <c:pt idx="3">
                  <c:v>0</c:v>
                </c:pt>
                <c:pt idx="4">
                  <c:v>-6.75</c:v>
                </c:pt>
                <c:pt idx="5">
                  <c:v>-9</c:v>
                </c:pt>
                <c:pt idx="6">
                  <c:v>-6.75</c:v>
                </c:pt>
                <c:pt idx="7">
                  <c:v>0</c:v>
                </c:pt>
                <c:pt idx="8">
                  <c:v>11.25</c:v>
                </c:pt>
                <c:pt idx="9">
                  <c:v>27</c:v>
                </c:pt>
                <c:pt idx="10">
                  <c:v>47.25</c:v>
                </c:pt>
              </c:numCache>
            </c:numRef>
          </c:val>
        </c:ser>
        <c:ser>
          <c:idx val="3"/>
          <c:order val="3"/>
          <c:tx>
            <c:strRef>
              <c:f>Лист2!$A$5</c:f>
              <c:strCache>
                <c:ptCount val="1"/>
                <c:pt idx="0">
                  <c:v>-2</c:v>
                </c:pt>
              </c:strCache>
            </c:strRef>
          </c:tx>
          <c:cat>
            <c:numRef>
              <c:f>Лист2!$B$1:$L$1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Лист2!$B$5:$L$5</c:f>
              <c:numCache>
                <c:formatCode>General</c:formatCode>
                <c:ptCount val="11"/>
                <c:pt idx="0">
                  <c:v>52.25</c:v>
                </c:pt>
                <c:pt idx="1">
                  <c:v>32</c:v>
                </c:pt>
                <c:pt idx="2">
                  <c:v>16.25</c:v>
                </c:pt>
                <c:pt idx="3">
                  <c:v>5</c:v>
                </c:pt>
                <c:pt idx="4">
                  <c:v>-1.75</c:v>
                </c:pt>
                <c:pt idx="5">
                  <c:v>-4</c:v>
                </c:pt>
                <c:pt idx="6">
                  <c:v>-1.75</c:v>
                </c:pt>
                <c:pt idx="7">
                  <c:v>5</c:v>
                </c:pt>
                <c:pt idx="8">
                  <c:v>16.25</c:v>
                </c:pt>
                <c:pt idx="9">
                  <c:v>32</c:v>
                </c:pt>
                <c:pt idx="10">
                  <c:v>52.25</c:v>
                </c:pt>
              </c:numCache>
            </c:numRef>
          </c:val>
        </c:ser>
        <c:ser>
          <c:idx val="4"/>
          <c:order val="4"/>
          <c:tx>
            <c:strRef>
              <c:f>Лист2!$A$6</c:f>
              <c:strCache>
                <c:ptCount val="1"/>
                <c:pt idx="0">
                  <c:v>-1</c:v>
                </c:pt>
              </c:strCache>
            </c:strRef>
          </c:tx>
          <c:cat>
            <c:numRef>
              <c:f>Лист2!$B$1:$L$1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Лист2!$B$6:$L$6</c:f>
              <c:numCache>
                <c:formatCode>General</c:formatCode>
                <c:ptCount val="11"/>
                <c:pt idx="0">
                  <c:v>55.25</c:v>
                </c:pt>
                <c:pt idx="1">
                  <c:v>35</c:v>
                </c:pt>
                <c:pt idx="2">
                  <c:v>19.25</c:v>
                </c:pt>
                <c:pt idx="3">
                  <c:v>8</c:v>
                </c:pt>
                <c:pt idx="4">
                  <c:v>1.25</c:v>
                </c:pt>
                <c:pt idx="5">
                  <c:v>-1</c:v>
                </c:pt>
                <c:pt idx="6">
                  <c:v>1.25</c:v>
                </c:pt>
                <c:pt idx="7">
                  <c:v>8</c:v>
                </c:pt>
                <c:pt idx="8">
                  <c:v>19.25</c:v>
                </c:pt>
                <c:pt idx="9">
                  <c:v>35</c:v>
                </c:pt>
                <c:pt idx="10">
                  <c:v>55.25</c:v>
                </c:pt>
              </c:numCache>
            </c:numRef>
          </c:val>
        </c:ser>
        <c:ser>
          <c:idx val="5"/>
          <c:order val="5"/>
          <c:tx>
            <c:strRef>
              <c:f>Лист2!$A$7</c:f>
              <c:strCache>
                <c:ptCount val="1"/>
                <c:pt idx="0">
                  <c:v>0</c:v>
                </c:pt>
              </c:strCache>
            </c:strRef>
          </c:tx>
          <c:cat>
            <c:numRef>
              <c:f>Лист2!$B$1:$L$1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Лист2!$B$7:$L$7</c:f>
              <c:numCache>
                <c:formatCode>General</c:formatCode>
                <c:ptCount val="11"/>
                <c:pt idx="0">
                  <c:v>56.25</c:v>
                </c:pt>
                <c:pt idx="1">
                  <c:v>36</c:v>
                </c:pt>
                <c:pt idx="2">
                  <c:v>20.25</c:v>
                </c:pt>
                <c:pt idx="3">
                  <c:v>9</c:v>
                </c:pt>
                <c:pt idx="4">
                  <c:v>2.25</c:v>
                </c:pt>
                <c:pt idx="5">
                  <c:v>0</c:v>
                </c:pt>
                <c:pt idx="6">
                  <c:v>2.25</c:v>
                </c:pt>
                <c:pt idx="7">
                  <c:v>9</c:v>
                </c:pt>
                <c:pt idx="8">
                  <c:v>20.25</c:v>
                </c:pt>
                <c:pt idx="9">
                  <c:v>36</c:v>
                </c:pt>
                <c:pt idx="10">
                  <c:v>56.25</c:v>
                </c:pt>
              </c:numCache>
            </c:numRef>
          </c:val>
        </c:ser>
        <c:ser>
          <c:idx val="6"/>
          <c:order val="6"/>
          <c:tx>
            <c:strRef>
              <c:f>Лист2!$A$8</c:f>
              <c:strCache>
                <c:ptCount val="1"/>
                <c:pt idx="0">
                  <c:v>1</c:v>
                </c:pt>
              </c:strCache>
            </c:strRef>
          </c:tx>
          <c:cat>
            <c:numRef>
              <c:f>Лист2!$B$1:$L$1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Лист2!$B$8:$L$8</c:f>
              <c:numCache>
                <c:formatCode>General</c:formatCode>
                <c:ptCount val="11"/>
                <c:pt idx="0">
                  <c:v>55.25</c:v>
                </c:pt>
                <c:pt idx="1">
                  <c:v>35</c:v>
                </c:pt>
                <c:pt idx="2">
                  <c:v>19.25</c:v>
                </c:pt>
                <c:pt idx="3">
                  <c:v>8</c:v>
                </c:pt>
                <c:pt idx="4">
                  <c:v>1.25</c:v>
                </c:pt>
                <c:pt idx="5">
                  <c:v>-1</c:v>
                </c:pt>
                <c:pt idx="6">
                  <c:v>1.25</c:v>
                </c:pt>
                <c:pt idx="7">
                  <c:v>8</c:v>
                </c:pt>
                <c:pt idx="8">
                  <c:v>19.25</c:v>
                </c:pt>
                <c:pt idx="9">
                  <c:v>35</c:v>
                </c:pt>
                <c:pt idx="10">
                  <c:v>55.25</c:v>
                </c:pt>
              </c:numCache>
            </c:numRef>
          </c:val>
        </c:ser>
        <c:ser>
          <c:idx val="7"/>
          <c:order val="7"/>
          <c:tx>
            <c:strRef>
              <c:f>Лист2!$A$9</c:f>
              <c:strCache>
                <c:ptCount val="1"/>
                <c:pt idx="0">
                  <c:v>2</c:v>
                </c:pt>
              </c:strCache>
            </c:strRef>
          </c:tx>
          <c:cat>
            <c:numRef>
              <c:f>Лист2!$B$1:$L$1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Лист2!$B$9:$L$9</c:f>
              <c:numCache>
                <c:formatCode>General</c:formatCode>
                <c:ptCount val="11"/>
                <c:pt idx="0">
                  <c:v>52.25</c:v>
                </c:pt>
                <c:pt idx="1">
                  <c:v>32</c:v>
                </c:pt>
                <c:pt idx="2">
                  <c:v>16.25</c:v>
                </c:pt>
                <c:pt idx="3">
                  <c:v>5</c:v>
                </c:pt>
                <c:pt idx="4">
                  <c:v>-1.75</c:v>
                </c:pt>
                <c:pt idx="5">
                  <c:v>-4</c:v>
                </c:pt>
                <c:pt idx="6">
                  <c:v>-1.75</c:v>
                </c:pt>
                <c:pt idx="7">
                  <c:v>5</c:v>
                </c:pt>
                <c:pt idx="8">
                  <c:v>16.25</c:v>
                </c:pt>
                <c:pt idx="9">
                  <c:v>32</c:v>
                </c:pt>
                <c:pt idx="10">
                  <c:v>52.25</c:v>
                </c:pt>
              </c:numCache>
            </c:numRef>
          </c:val>
        </c:ser>
        <c:ser>
          <c:idx val="8"/>
          <c:order val="8"/>
          <c:tx>
            <c:strRef>
              <c:f>Лист2!$A$10</c:f>
              <c:strCache>
                <c:ptCount val="1"/>
                <c:pt idx="0">
                  <c:v>3</c:v>
                </c:pt>
              </c:strCache>
            </c:strRef>
          </c:tx>
          <c:cat>
            <c:numRef>
              <c:f>Лист2!$B$1:$L$1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Лист2!$B$10:$L$10</c:f>
              <c:numCache>
                <c:formatCode>General</c:formatCode>
                <c:ptCount val="11"/>
                <c:pt idx="0">
                  <c:v>47.25</c:v>
                </c:pt>
                <c:pt idx="1">
                  <c:v>27</c:v>
                </c:pt>
                <c:pt idx="2">
                  <c:v>11.25</c:v>
                </c:pt>
                <c:pt idx="3">
                  <c:v>0</c:v>
                </c:pt>
                <c:pt idx="4">
                  <c:v>-6.75</c:v>
                </c:pt>
                <c:pt idx="5">
                  <c:v>-9</c:v>
                </c:pt>
                <c:pt idx="6">
                  <c:v>-6.75</c:v>
                </c:pt>
                <c:pt idx="7">
                  <c:v>0</c:v>
                </c:pt>
                <c:pt idx="8">
                  <c:v>11.25</c:v>
                </c:pt>
                <c:pt idx="9">
                  <c:v>27</c:v>
                </c:pt>
                <c:pt idx="10">
                  <c:v>47.25</c:v>
                </c:pt>
              </c:numCache>
            </c:numRef>
          </c:val>
        </c:ser>
        <c:ser>
          <c:idx val="9"/>
          <c:order val="9"/>
          <c:tx>
            <c:strRef>
              <c:f>Лист2!$A$11</c:f>
              <c:strCache>
                <c:ptCount val="1"/>
                <c:pt idx="0">
                  <c:v>4</c:v>
                </c:pt>
              </c:strCache>
            </c:strRef>
          </c:tx>
          <c:cat>
            <c:numRef>
              <c:f>Лист2!$B$1:$L$1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Лист2!$B$11:$L$11</c:f>
              <c:numCache>
                <c:formatCode>General</c:formatCode>
                <c:ptCount val="11"/>
                <c:pt idx="0">
                  <c:v>40.25</c:v>
                </c:pt>
                <c:pt idx="1">
                  <c:v>20</c:v>
                </c:pt>
                <c:pt idx="2">
                  <c:v>4.25</c:v>
                </c:pt>
                <c:pt idx="3">
                  <c:v>-7</c:v>
                </c:pt>
                <c:pt idx="4">
                  <c:v>-13.75</c:v>
                </c:pt>
                <c:pt idx="5">
                  <c:v>-16</c:v>
                </c:pt>
                <c:pt idx="6">
                  <c:v>-13.75</c:v>
                </c:pt>
                <c:pt idx="7">
                  <c:v>-7</c:v>
                </c:pt>
                <c:pt idx="8">
                  <c:v>4.25</c:v>
                </c:pt>
                <c:pt idx="9">
                  <c:v>20</c:v>
                </c:pt>
                <c:pt idx="10">
                  <c:v>40.25</c:v>
                </c:pt>
              </c:numCache>
            </c:numRef>
          </c:val>
        </c:ser>
        <c:ser>
          <c:idx val="10"/>
          <c:order val="10"/>
          <c:tx>
            <c:strRef>
              <c:f>Лист2!$A$12</c:f>
              <c:strCache>
                <c:ptCount val="1"/>
                <c:pt idx="0">
                  <c:v>5</c:v>
                </c:pt>
              </c:strCache>
            </c:strRef>
          </c:tx>
          <c:cat>
            <c:numRef>
              <c:f>Лист2!$B$1:$L$1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Лист2!$B$12:$L$12</c:f>
              <c:numCache>
                <c:formatCode>General</c:formatCode>
                <c:ptCount val="11"/>
                <c:pt idx="0">
                  <c:v>31.25</c:v>
                </c:pt>
                <c:pt idx="1">
                  <c:v>11</c:v>
                </c:pt>
                <c:pt idx="2">
                  <c:v>-4.75</c:v>
                </c:pt>
                <c:pt idx="3">
                  <c:v>-16</c:v>
                </c:pt>
                <c:pt idx="4">
                  <c:v>-22.75</c:v>
                </c:pt>
                <c:pt idx="5">
                  <c:v>-25</c:v>
                </c:pt>
                <c:pt idx="6">
                  <c:v>-22.75</c:v>
                </c:pt>
                <c:pt idx="7">
                  <c:v>-16</c:v>
                </c:pt>
                <c:pt idx="8">
                  <c:v>-4.75</c:v>
                </c:pt>
                <c:pt idx="9">
                  <c:v>11</c:v>
                </c:pt>
                <c:pt idx="10">
                  <c:v>31.25</c:v>
                </c:pt>
              </c:numCache>
            </c:numRef>
          </c:val>
        </c:ser>
        <c:bandFmts/>
        <c:axId val="203458432"/>
        <c:axId val="203459968"/>
        <c:axId val="203452864"/>
      </c:surface3DChart>
      <c:catAx>
        <c:axId val="203458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3459968"/>
        <c:crosses val="autoZero"/>
        <c:auto val="1"/>
        <c:lblAlgn val="ctr"/>
        <c:lblOffset val="100"/>
        <c:noMultiLvlLbl val="0"/>
      </c:catAx>
      <c:valAx>
        <c:axId val="203459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3458432"/>
        <c:crosses val="autoZero"/>
        <c:crossBetween val="midCat"/>
      </c:valAx>
      <c:serAx>
        <c:axId val="203452864"/>
        <c:scaling>
          <c:orientation val="minMax"/>
        </c:scaling>
        <c:delete val="0"/>
        <c:axPos val="b"/>
        <c:majorTickMark val="out"/>
        <c:minorTickMark val="none"/>
        <c:tickLblPos val="nextTo"/>
        <c:crossAx val="203459968"/>
        <c:crosses val="autoZero"/>
      </c:ser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2</xdr:row>
      <xdr:rowOff>19050</xdr:rowOff>
    </xdr:from>
    <xdr:to>
      <xdr:col>7</xdr:col>
      <xdr:colOff>365760</xdr:colOff>
      <xdr:row>17</xdr:row>
      <xdr:rowOff>19050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2</xdr:row>
      <xdr:rowOff>72390</xdr:rowOff>
    </xdr:from>
    <xdr:to>
      <xdr:col>7</xdr:col>
      <xdr:colOff>403860</xdr:colOff>
      <xdr:row>17</xdr:row>
      <xdr:rowOff>72390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2</xdr:row>
      <xdr:rowOff>95250</xdr:rowOff>
    </xdr:from>
    <xdr:to>
      <xdr:col>7</xdr:col>
      <xdr:colOff>358140</xdr:colOff>
      <xdr:row>17</xdr:row>
      <xdr:rowOff>95250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60960</xdr:colOff>
      <xdr:row>8</xdr:row>
      <xdr:rowOff>148590</xdr:rowOff>
    </xdr:from>
    <xdr:to>
      <xdr:col>15</xdr:col>
      <xdr:colOff>365760</xdr:colOff>
      <xdr:row>23</xdr:row>
      <xdr:rowOff>148590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</xdr:colOff>
      <xdr:row>0</xdr:row>
      <xdr:rowOff>0</xdr:rowOff>
    </xdr:from>
    <xdr:to>
      <xdr:col>19</xdr:col>
      <xdr:colOff>350520</xdr:colOff>
      <xdr:row>15</xdr:row>
      <xdr:rowOff>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H2" sqref="H2"/>
    </sheetView>
  </sheetViews>
  <sheetFormatPr defaultRowHeight="14.4" x14ac:dyDescent="0.3"/>
  <sheetData>
    <row r="1" spans="1:11" x14ac:dyDescent="0.3">
      <c r="A1">
        <v>7</v>
      </c>
      <c r="B1">
        <v>3</v>
      </c>
    </row>
    <row r="2" spans="1:11" x14ac:dyDescent="0.3">
      <c r="A2">
        <v>-4</v>
      </c>
      <c r="B2">
        <v>-2</v>
      </c>
      <c r="C2">
        <v>-1</v>
      </c>
      <c r="D2">
        <v>0</v>
      </c>
      <c r="E2">
        <v>1</v>
      </c>
      <c r="F2">
        <v>2</v>
      </c>
      <c r="G2">
        <v>4</v>
      </c>
      <c r="H2">
        <v>8</v>
      </c>
      <c r="I2">
        <v>16</v>
      </c>
      <c r="J2">
        <v>32</v>
      </c>
      <c r="K2">
        <v>64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G2" sqref="G2"/>
    </sheetView>
  </sheetViews>
  <sheetFormatPr defaultRowHeight="14.4" x14ac:dyDescent="0.3"/>
  <sheetData>
    <row r="1" spans="1:8" x14ac:dyDescent="0.3">
      <c r="A1">
        <v>3</v>
      </c>
      <c r="B1">
        <v>7</v>
      </c>
      <c r="C1">
        <v>1</v>
      </c>
      <c r="D1">
        <v>5</v>
      </c>
      <c r="E1">
        <v>8</v>
      </c>
      <c r="F1">
        <v>10</v>
      </c>
      <c r="G1">
        <v>15</v>
      </c>
      <c r="H1">
        <v>20</v>
      </c>
    </row>
    <row r="2" spans="1:8" x14ac:dyDescent="0.3">
      <c r="A2">
        <f>IF(1=1,$A$1 * $D$1 * $D$1 + $B$1 * $D$1 + C1)</f>
        <v>111</v>
      </c>
      <c r="B2">
        <f t="shared" ref="B2:G2" si="0">IF(1=1,$A$1 * $D$1 * $D$1 + $B$1 * $D$1 + D1)</f>
        <v>115</v>
      </c>
      <c r="C2">
        <f t="shared" si="0"/>
        <v>118</v>
      </c>
      <c r="D2">
        <f t="shared" si="0"/>
        <v>120</v>
      </c>
      <c r="E2">
        <f t="shared" si="0"/>
        <v>125</v>
      </c>
      <c r="F2">
        <f t="shared" si="0"/>
        <v>130</v>
      </c>
      <c r="G2">
        <f t="shared" si="0"/>
        <v>110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I19" sqref="I19"/>
    </sheetView>
  </sheetViews>
  <sheetFormatPr defaultRowHeight="14.4" x14ac:dyDescent="0.3"/>
  <sheetData>
    <row r="1" spans="1:9" x14ac:dyDescent="0.3">
      <c r="A1" s="1">
        <f>AVERAGE(3,7,7)</f>
        <v>5.666666666666667</v>
      </c>
      <c r="B1">
        <f>AVERAGE(31,31,7)</f>
        <v>23</v>
      </c>
      <c r="C1">
        <v>1</v>
      </c>
      <c r="D1">
        <v>2</v>
      </c>
      <c r="E1">
        <v>4</v>
      </c>
      <c r="F1">
        <v>8</v>
      </c>
      <c r="G1">
        <v>16</v>
      </c>
      <c r="H1">
        <v>32</v>
      </c>
      <c r="I1">
        <v>64</v>
      </c>
    </row>
    <row r="2" spans="1:9" x14ac:dyDescent="0.3">
      <c r="A2">
        <f>IF(1=1,ABS(-5 * C1 +  $A$1 * C1 + $B$1))</f>
        <v>23.666666666666668</v>
      </c>
      <c r="B2">
        <f t="shared" ref="B2:G2" si="0">IF(1=1,ABS(-5 * D1 +  $A$1 * D1 + $B$1))</f>
        <v>24.333333333333336</v>
      </c>
      <c r="C2">
        <f t="shared" si="0"/>
        <v>25.666666666666668</v>
      </c>
      <c r="D2">
        <f t="shared" si="0"/>
        <v>28.333333333333336</v>
      </c>
      <c r="E2">
        <f t="shared" si="0"/>
        <v>33.666666666666671</v>
      </c>
      <c r="F2">
        <f t="shared" si="0"/>
        <v>44.333333333333343</v>
      </c>
      <c r="G2">
        <f t="shared" si="0"/>
        <v>65.666666666666686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F12" sqref="F12"/>
    </sheetView>
  </sheetViews>
  <sheetFormatPr defaultRowHeight="14.4" x14ac:dyDescent="0.3"/>
  <sheetData>
    <row r="1" spans="1:3" x14ac:dyDescent="0.3">
      <c r="A1">
        <f>IF(1=1,27 * 3)</f>
        <v>81</v>
      </c>
      <c r="B1">
        <f>GCD(30,3)</f>
        <v>3</v>
      </c>
    </row>
    <row r="2" spans="1:3" x14ac:dyDescent="0.3">
      <c r="A2">
        <f>LOG($A$1,$B$1)</f>
        <v>4</v>
      </c>
      <c r="B2">
        <f>LOG($A$1,$B$1)</f>
        <v>4</v>
      </c>
      <c r="C2">
        <f>LOG($A$1,$B$1)</f>
        <v>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selection sqref="A1:L12"/>
    </sheetView>
  </sheetViews>
  <sheetFormatPr defaultRowHeight="14.4" x14ac:dyDescent="0.3"/>
  <sheetData>
    <row r="1" spans="1:14" x14ac:dyDescent="0.3">
      <c r="B1">
        <v>-7.5</v>
      </c>
      <c r="C1">
        <v>-6</v>
      </c>
      <c r="D1">
        <v>-4.5</v>
      </c>
      <c r="E1">
        <v>-3</v>
      </c>
      <c r="F1">
        <v>-1.5</v>
      </c>
      <c r="G1">
        <v>0</v>
      </c>
      <c r="H1">
        <v>1.5</v>
      </c>
      <c r="I1">
        <v>3</v>
      </c>
      <c r="J1">
        <v>4.5</v>
      </c>
      <c r="K1">
        <v>6</v>
      </c>
      <c r="L1">
        <v>7.5</v>
      </c>
    </row>
    <row r="2" spans="1:14" x14ac:dyDescent="0.3">
      <c r="A2">
        <v>-5</v>
      </c>
      <c r="B2">
        <f>((B1^2)- ($A$2^2))</f>
        <v>31.25</v>
      </c>
      <c r="C2">
        <f t="shared" ref="C2:L2" si="0">((C1^2)- ($A$2^2))</f>
        <v>11</v>
      </c>
      <c r="D2">
        <f t="shared" si="0"/>
        <v>-4.75</v>
      </c>
      <c r="E2">
        <f t="shared" si="0"/>
        <v>-16</v>
      </c>
      <c r="F2">
        <f t="shared" si="0"/>
        <v>-22.75</v>
      </c>
      <c r="G2">
        <f t="shared" si="0"/>
        <v>-25</v>
      </c>
      <c r="H2">
        <f t="shared" si="0"/>
        <v>-22.75</v>
      </c>
      <c r="I2">
        <f t="shared" si="0"/>
        <v>-16</v>
      </c>
      <c r="J2">
        <f t="shared" si="0"/>
        <v>-4.75</v>
      </c>
      <c r="K2">
        <f t="shared" si="0"/>
        <v>11</v>
      </c>
      <c r="L2">
        <f t="shared" si="0"/>
        <v>31.25</v>
      </c>
      <c r="N2" s="2"/>
    </row>
    <row r="3" spans="1:14" x14ac:dyDescent="0.3">
      <c r="A3">
        <v>-4</v>
      </c>
      <c r="B3">
        <f>((B1^2)- ($A$3^2))</f>
        <v>40.25</v>
      </c>
      <c r="C3">
        <f t="shared" ref="C3:L3" si="1">((C1^2)- ($A$3^2))</f>
        <v>20</v>
      </c>
      <c r="D3">
        <f t="shared" si="1"/>
        <v>4.25</v>
      </c>
      <c r="E3">
        <f t="shared" si="1"/>
        <v>-7</v>
      </c>
      <c r="F3">
        <f t="shared" si="1"/>
        <v>-13.75</v>
      </c>
      <c r="G3">
        <f t="shared" si="1"/>
        <v>-16</v>
      </c>
      <c r="H3">
        <f t="shared" si="1"/>
        <v>-13.75</v>
      </c>
      <c r="I3">
        <f t="shared" si="1"/>
        <v>-7</v>
      </c>
      <c r="J3">
        <f t="shared" si="1"/>
        <v>4.25</v>
      </c>
      <c r="K3">
        <f t="shared" si="1"/>
        <v>20</v>
      </c>
      <c r="L3">
        <f t="shared" si="1"/>
        <v>40.25</v>
      </c>
    </row>
    <row r="4" spans="1:14" x14ac:dyDescent="0.3">
      <c r="A4">
        <v>-3</v>
      </c>
      <c r="B4">
        <f>((B1^2)- ($A$4^2))</f>
        <v>47.25</v>
      </c>
      <c r="C4">
        <f t="shared" ref="C4:L4" si="2">((C1^2)- ($A$4^2))</f>
        <v>27</v>
      </c>
      <c r="D4">
        <f t="shared" si="2"/>
        <v>11.25</v>
      </c>
      <c r="E4">
        <f t="shared" si="2"/>
        <v>0</v>
      </c>
      <c r="F4">
        <f t="shared" si="2"/>
        <v>-6.75</v>
      </c>
      <c r="G4">
        <f t="shared" si="2"/>
        <v>-9</v>
      </c>
      <c r="H4">
        <f t="shared" si="2"/>
        <v>-6.75</v>
      </c>
      <c r="I4">
        <f t="shared" si="2"/>
        <v>0</v>
      </c>
      <c r="J4">
        <f t="shared" si="2"/>
        <v>11.25</v>
      </c>
      <c r="K4">
        <f t="shared" si="2"/>
        <v>27</v>
      </c>
      <c r="L4">
        <f t="shared" si="2"/>
        <v>47.25</v>
      </c>
    </row>
    <row r="5" spans="1:14" x14ac:dyDescent="0.3">
      <c r="A5">
        <v>-2</v>
      </c>
      <c r="B5">
        <f>((B1^2)- ($A$5^2))</f>
        <v>52.25</v>
      </c>
      <c r="C5">
        <f t="shared" ref="C5:L5" si="3">((C1^2)- ($A$5^2))</f>
        <v>32</v>
      </c>
      <c r="D5">
        <f t="shared" si="3"/>
        <v>16.25</v>
      </c>
      <c r="E5">
        <f t="shared" si="3"/>
        <v>5</v>
      </c>
      <c r="F5">
        <f t="shared" si="3"/>
        <v>-1.75</v>
      </c>
      <c r="G5">
        <f t="shared" si="3"/>
        <v>-4</v>
      </c>
      <c r="H5">
        <f t="shared" si="3"/>
        <v>-1.75</v>
      </c>
      <c r="I5">
        <f t="shared" si="3"/>
        <v>5</v>
      </c>
      <c r="J5">
        <f t="shared" si="3"/>
        <v>16.25</v>
      </c>
      <c r="K5">
        <f t="shared" si="3"/>
        <v>32</v>
      </c>
      <c r="L5">
        <f t="shared" si="3"/>
        <v>52.25</v>
      </c>
    </row>
    <row r="6" spans="1:14" x14ac:dyDescent="0.3">
      <c r="A6">
        <v>-1</v>
      </c>
      <c r="B6">
        <f>((B1^2)- ($A$6^2))</f>
        <v>55.25</v>
      </c>
      <c r="C6">
        <f t="shared" ref="C6:L6" si="4">((C1^2)- ($A$6^2))</f>
        <v>35</v>
      </c>
      <c r="D6">
        <f t="shared" si="4"/>
        <v>19.25</v>
      </c>
      <c r="E6">
        <f t="shared" si="4"/>
        <v>8</v>
      </c>
      <c r="F6">
        <f t="shared" si="4"/>
        <v>1.25</v>
      </c>
      <c r="G6">
        <f t="shared" si="4"/>
        <v>-1</v>
      </c>
      <c r="H6">
        <f t="shared" si="4"/>
        <v>1.25</v>
      </c>
      <c r="I6">
        <f t="shared" si="4"/>
        <v>8</v>
      </c>
      <c r="J6">
        <f t="shared" si="4"/>
        <v>19.25</v>
      </c>
      <c r="K6">
        <f t="shared" si="4"/>
        <v>35</v>
      </c>
      <c r="L6">
        <f t="shared" si="4"/>
        <v>55.25</v>
      </c>
    </row>
    <row r="7" spans="1:14" x14ac:dyDescent="0.3">
      <c r="A7">
        <v>0</v>
      </c>
      <c r="B7">
        <f>((B1^2)- ($A$7^2))</f>
        <v>56.25</v>
      </c>
      <c r="C7">
        <f t="shared" ref="C7:L7" si="5">((C1^2)- ($A$7^2))</f>
        <v>36</v>
      </c>
      <c r="D7">
        <f t="shared" si="5"/>
        <v>20.25</v>
      </c>
      <c r="E7">
        <f t="shared" si="5"/>
        <v>9</v>
      </c>
      <c r="F7">
        <f t="shared" si="5"/>
        <v>2.25</v>
      </c>
      <c r="G7">
        <f t="shared" si="5"/>
        <v>0</v>
      </c>
      <c r="H7">
        <f t="shared" si="5"/>
        <v>2.25</v>
      </c>
      <c r="I7">
        <f t="shared" si="5"/>
        <v>9</v>
      </c>
      <c r="J7">
        <f t="shared" si="5"/>
        <v>20.25</v>
      </c>
      <c r="K7">
        <f t="shared" si="5"/>
        <v>36</v>
      </c>
      <c r="L7">
        <f t="shared" si="5"/>
        <v>56.25</v>
      </c>
    </row>
    <row r="8" spans="1:14" x14ac:dyDescent="0.3">
      <c r="A8">
        <v>1</v>
      </c>
      <c r="B8">
        <f>((B1^2)- ($A$8^2))</f>
        <v>55.25</v>
      </c>
      <c r="C8">
        <f t="shared" ref="C8:L8" si="6">((C1^2)- ($A$8^2))</f>
        <v>35</v>
      </c>
      <c r="D8">
        <f t="shared" si="6"/>
        <v>19.25</v>
      </c>
      <c r="E8">
        <f t="shared" si="6"/>
        <v>8</v>
      </c>
      <c r="F8">
        <f t="shared" si="6"/>
        <v>1.25</v>
      </c>
      <c r="G8">
        <f t="shared" si="6"/>
        <v>-1</v>
      </c>
      <c r="H8">
        <f t="shared" si="6"/>
        <v>1.25</v>
      </c>
      <c r="I8">
        <f t="shared" si="6"/>
        <v>8</v>
      </c>
      <c r="J8">
        <f t="shared" si="6"/>
        <v>19.25</v>
      </c>
      <c r="K8">
        <f t="shared" si="6"/>
        <v>35</v>
      </c>
      <c r="L8">
        <f t="shared" si="6"/>
        <v>55.25</v>
      </c>
    </row>
    <row r="9" spans="1:14" x14ac:dyDescent="0.3">
      <c r="A9">
        <v>2</v>
      </c>
      <c r="B9">
        <f>((B1^2)- ($A$9^2))</f>
        <v>52.25</v>
      </c>
      <c r="C9">
        <f t="shared" ref="C9:L9" si="7">((C1^2)- ($A$9^2))</f>
        <v>32</v>
      </c>
      <c r="D9">
        <f t="shared" si="7"/>
        <v>16.25</v>
      </c>
      <c r="E9">
        <f t="shared" si="7"/>
        <v>5</v>
      </c>
      <c r="F9">
        <f t="shared" si="7"/>
        <v>-1.75</v>
      </c>
      <c r="G9">
        <f t="shared" si="7"/>
        <v>-4</v>
      </c>
      <c r="H9">
        <f t="shared" si="7"/>
        <v>-1.75</v>
      </c>
      <c r="I9">
        <f t="shared" si="7"/>
        <v>5</v>
      </c>
      <c r="J9">
        <f t="shared" si="7"/>
        <v>16.25</v>
      </c>
      <c r="K9">
        <f t="shared" si="7"/>
        <v>32</v>
      </c>
      <c r="L9">
        <f t="shared" si="7"/>
        <v>52.25</v>
      </c>
    </row>
    <row r="10" spans="1:14" x14ac:dyDescent="0.3">
      <c r="A10">
        <v>3</v>
      </c>
      <c r="B10">
        <f>((B1^2)- ($A$10^2))</f>
        <v>47.25</v>
      </c>
      <c r="C10">
        <f t="shared" ref="C10:L10" si="8">((C1^2)- ($A$10^2))</f>
        <v>27</v>
      </c>
      <c r="D10">
        <f t="shared" si="8"/>
        <v>11.25</v>
      </c>
      <c r="E10">
        <f t="shared" si="8"/>
        <v>0</v>
      </c>
      <c r="F10">
        <f t="shared" si="8"/>
        <v>-6.75</v>
      </c>
      <c r="G10">
        <f t="shared" si="8"/>
        <v>-9</v>
      </c>
      <c r="H10">
        <f t="shared" si="8"/>
        <v>-6.75</v>
      </c>
      <c r="I10">
        <f t="shared" si="8"/>
        <v>0</v>
      </c>
      <c r="J10">
        <f t="shared" si="8"/>
        <v>11.25</v>
      </c>
      <c r="K10">
        <f t="shared" si="8"/>
        <v>27</v>
      </c>
      <c r="L10">
        <f t="shared" si="8"/>
        <v>47.25</v>
      </c>
    </row>
    <row r="11" spans="1:14" x14ac:dyDescent="0.3">
      <c r="A11">
        <v>4</v>
      </c>
      <c r="B11">
        <f>((B1^2)- ($A$11^2))</f>
        <v>40.25</v>
      </c>
      <c r="C11">
        <f t="shared" ref="C11:L11" si="9">((C1^2)- ($A$11^2))</f>
        <v>20</v>
      </c>
      <c r="D11">
        <f t="shared" si="9"/>
        <v>4.25</v>
      </c>
      <c r="E11">
        <f t="shared" si="9"/>
        <v>-7</v>
      </c>
      <c r="F11">
        <f t="shared" si="9"/>
        <v>-13.75</v>
      </c>
      <c r="G11">
        <f t="shared" si="9"/>
        <v>-16</v>
      </c>
      <c r="H11">
        <f t="shared" si="9"/>
        <v>-13.75</v>
      </c>
      <c r="I11">
        <f t="shared" si="9"/>
        <v>-7</v>
      </c>
      <c r="J11">
        <f t="shared" si="9"/>
        <v>4.25</v>
      </c>
      <c r="K11">
        <f t="shared" si="9"/>
        <v>20</v>
      </c>
      <c r="L11">
        <f t="shared" si="9"/>
        <v>40.25</v>
      </c>
    </row>
    <row r="12" spans="1:14" x14ac:dyDescent="0.3">
      <c r="A12">
        <v>5</v>
      </c>
      <c r="B12">
        <f>((B1^2)- ($A$12^2))</f>
        <v>31.25</v>
      </c>
      <c r="C12">
        <f t="shared" ref="C12:L12" si="10">((C1^2)- ($A$12^2))</f>
        <v>11</v>
      </c>
      <c r="D12">
        <f t="shared" si="10"/>
        <v>-4.75</v>
      </c>
      <c r="E12">
        <f t="shared" si="10"/>
        <v>-16</v>
      </c>
      <c r="F12">
        <f t="shared" si="10"/>
        <v>-22.75</v>
      </c>
      <c r="G12">
        <f t="shared" si="10"/>
        <v>-25</v>
      </c>
      <c r="H12">
        <f t="shared" si="10"/>
        <v>-22.75</v>
      </c>
      <c r="I12">
        <f t="shared" si="10"/>
        <v>-16</v>
      </c>
      <c r="J12">
        <f t="shared" si="10"/>
        <v>-4.75</v>
      </c>
      <c r="K12">
        <f t="shared" si="10"/>
        <v>11</v>
      </c>
      <c r="L12">
        <f t="shared" si="10"/>
        <v>31.25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1.1</vt:lpstr>
      <vt:lpstr>1.2</vt:lpstr>
      <vt:lpstr>1.3</vt:lpstr>
      <vt:lpstr>1.4</vt:lpstr>
      <vt:lpstr>Лист2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2022-12-27T12:56:36Z</dcterms:modified>
</cp:coreProperties>
</file>