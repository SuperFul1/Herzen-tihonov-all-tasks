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Задание 1" sheetId="1" state="visible" r:id="rId2"/>
    <sheet name="Задание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<sst xmlns="http://schemas.openxmlformats.org/spreadsheetml/2006/main" count="49" uniqueCount="25">
  <si>
    <t xml:space="preserve">Год</t>
  </si>
  <si>
    <t xml:space="preserve">Валовой сбор, тыс.т</t>
  </si>
  <si>
    <t xml:space="preserve">1. Построить график временного ряда.</t>
  </si>
  <si>
    <t xml:space="preserve">2. Рассчитать коэффициент автокорреляции первого порядка.</t>
  </si>
  <si>
    <t xml:space="preserve">t</t>
  </si>
  <si>
    <t xml:space="preserve"> -</t>
  </si>
  <si>
    <t xml:space="preserve">3. Обосновать выбор типа уравнения тренда и рассчитать его параметры.</t>
  </si>
  <si>
    <t xml:space="preserve">Исходя из значения автокорреляции и графического изображения временного ряда, можно сделать вывод, что ряд содержит тенденцию,близкую к линейной.</t>
  </si>
  <si>
    <t xml:space="preserve">y = a + bt</t>
  </si>
  <si>
    <t xml:space="preserve">№</t>
  </si>
  <si>
    <t xml:space="preserve">y</t>
  </si>
  <si>
    <t xml:space="preserve">y*t</t>
  </si>
  <si>
    <t xml:space="preserve">a =</t>
  </si>
  <si>
    <t xml:space="preserve">b = </t>
  </si>
  <si>
    <t xml:space="preserve"> =&gt;y = 226,9167 — 10,85t</t>
  </si>
  <si>
    <t xml:space="preserve">В среднем ежегодно валовый сбор винограда за 1992-2000 гг снижался на 10,85 тонн.</t>
  </si>
  <si>
    <t xml:space="preserve">Сумма</t>
  </si>
  <si>
    <t xml:space="preserve">Ср.знач</t>
  </si>
  <si>
    <t xml:space="preserve">Табак.</t>
  </si>
  <si>
    <t xml:space="preserve">Годы</t>
  </si>
  <si>
    <t xml:space="preserve">Табак</t>
  </si>
  <si>
    <t xml:space="preserve">1. График временного ряда.</t>
  </si>
  <si>
    <t xml:space="preserve">Исходя из значения автокорреляции и графического изображения временного ряда, можно сделать вывод, что ряд содержит тенденцию,близкую к линейной</t>
  </si>
  <si>
    <t xml:space="preserve"> =&gt;y = 7,8578 + 0,0994t</t>
  </si>
  <si>
    <t xml:space="preserve">В среднем ежегодно валовый сбор табака за 1980-1998 гг увеличивался на 0,0994 тонн.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</si>
</sst>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"/>
  </numFmts>
  <fonts count="8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Calibri"/>
      <family val="2"/>
      <charset val="204"/>
    </font>
    <font>
      <sz val="9"/>
      <color rgb="FF595959"/>
      <name val="Calibri"/>
      <family val="2"/>
    </font>
    <font>
      <sz val="11"/>
      <color rgb="FF000000"/>
      <name val="Cambria Math"/>
      <family val="0"/>
      <charset val="204"/>
    </font>
    <font>
      <sz val="11"/>
      <color rgb="FF000000"/>
      <name val="Calibri"/>
      <family val="0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6C6C"/>
        <bgColor rgb="FFFF66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6C6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'Задание 1'!$A$2:$A$2</c:f>
              <c:strCache>
                <c:ptCount val="1"/>
                <c:pt idx="0">
                  <c:v>Валовой сбор, тыс.т</c:v>
                </c:pt>
              </c:strCache>
            </c:strRef>
          </c:tx>
          <c:spPr>
            <a:solidFill>
              <a:srgbClr val="ff0000"/>
            </a:solidFill>
            <a:ln cap="rnd" w="1908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4472c4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trendline>
            <c:spPr>
              <a:ln cap="rnd" w="19080">
                <a:solidFill>
                  <a:srgbClr val="c00000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'Задание 1'!$B$1:$J$1</c:f>
              <c:numCache>
                <c:formatCode>General</c:formatCode>
                <c:ptCount val="9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</c:numCache>
            </c:numRef>
          </c:xVal>
          <c:yVal>
            <c:numRef>
              <c:f>'Задание 1'!$B$2:$J$2</c:f>
              <c:numCache>
                <c:formatCode>General</c:formatCode>
                <c:ptCount val="9"/>
                <c:pt idx="0">
                  <c:v>246</c:v>
                </c:pt>
                <c:pt idx="1">
                  <c:v>229</c:v>
                </c:pt>
                <c:pt idx="2">
                  <c:v>152</c:v>
                </c:pt>
                <c:pt idx="3">
                  <c:v>155</c:v>
                </c:pt>
                <c:pt idx="4">
                  <c:v>190</c:v>
                </c:pt>
                <c:pt idx="5">
                  <c:v>160</c:v>
                </c:pt>
                <c:pt idx="6">
                  <c:v>107</c:v>
                </c:pt>
                <c:pt idx="7">
                  <c:v>155</c:v>
                </c:pt>
                <c:pt idx="8">
                  <c:v>160</c:v>
                </c:pt>
              </c:numCache>
            </c:numRef>
          </c:yVal>
          <c:smooth val="0"/>
        </c:ser>
        <c:axId val="40871339"/>
        <c:axId val="17250393"/>
      </c:scatterChart>
      <c:valAx>
        <c:axId val="4087133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7250393"/>
        <c:crosses val="autoZero"/>
        <c:crossBetween val="midCat"/>
      </c:valAx>
      <c:valAx>
        <c:axId val="172503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87133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ff0000"/>
            </a:solidFill>
            <a:ln cap="rnd" w="19080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19080">
                <a:solidFill>
                  <a:srgbClr val="4472c4"/>
                </a:solidFill>
                <a:prstDash val="sysDot"/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'Задание 2'!$A$4:$A$22</c:f>
              <c:numCache>
                <c:formatCode>General</c:formatCode>
                <c:ptCount val="19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</c:numCache>
            </c:numRef>
          </c:xVal>
          <c:yVal>
            <c:numRef>
              <c:f>'Задание 2'!$B$4:$B$22</c:f>
              <c:numCache>
                <c:formatCode>General</c:formatCode>
                <c:ptCount val="19"/>
                <c:pt idx="0">
                  <c:v>6.3</c:v>
                </c:pt>
                <c:pt idx="1">
                  <c:v>6.9</c:v>
                </c:pt>
                <c:pt idx="2">
                  <c:v>6.1</c:v>
                </c:pt>
                <c:pt idx="3">
                  <c:v>10.4</c:v>
                </c:pt>
                <c:pt idx="4">
                  <c:v>10</c:v>
                </c:pt>
                <c:pt idx="5">
                  <c:v>9.7</c:v>
                </c:pt>
                <c:pt idx="6">
                  <c:v>10.6</c:v>
                </c:pt>
                <c:pt idx="7">
                  <c:v>8.2</c:v>
                </c:pt>
                <c:pt idx="8">
                  <c:v>7.3</c:v>
                </c:pt>
                <c:pt idx="9">
                  <c:v>10</c:v>
                </c:pt>
                <c:pt idx="10">
                  <c:v>12.4</c:v>
                </c:pt>
                <c:pt idx="11">
                  <c:v>9</c:v>
                </c:pt>
                <c:pt idx="12">
                  <c:v>6.6</c:v>
                </c:pt>
                <c:pt idx="13">
                  <c:v>9.6</c:v>
                </c:pt>
                <c:pt idx="14">
                  <c:v>8.4</c:v>
                </c:pt>
                <c:pt idx="15">
                  <c:v>5.9</c:v>
                </c:pt>
                <c:pt idx="16">
                  <c:v>7.2</c:v>
                </c:pt>
                <c:pt idx="17">
                  <c:v>10.8</c:v>
                </c:pt>
                <c:pt idx="18">
                  <c:v>12.8</c:v>
                </c:pt>
              </c:numCache>
            </c:numRef>
          </c:yVal>
          <c:smooth val="1"/>
        </c:ser>
        <c:axId val="56002128"/>
        <c:axId val="64535107"/>
      </c:scatterChart>
      <c:valAx>
        <c:axId val="5600212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535107"/>
        <c:crosses val="autoZero"/>
        <c:crossBetween val="midCat"/>
      </c:valAx>
      <c:valAx>
        <c:axId val="6453510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600212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93960</xdr:rowOff>
    </xdr:from>
    <xdr:to>
      <xdr:col>5</xdr:col>
      <xdr:colOff>185400</xdr:colOff>
      <xdr:row>16</xdr:row>
      <xdr:rowOff>29160</xdr:rowOff>
    </xdr:to>
    <xdr:graphicFrame>
      <xdr:nvGraphicFramePr>
        <xdr:cNvPr id="0" name="Диаграмма 1"/>
        <xdr:cNvGraphicFramePr/>
      </xdr:nvGraphicFramePr>
      <xdr:xfrm>
        <a:off x="0" y="1140480"/>
        <a:ext cx="3195360" cy="222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222480</xdr:colOff>
      <xdr:row>18</xdr:row>
      <xdr:rowOff>174600</xdr:rowOff>
    </xdr:from>
    <xdr:to>
      <xdr:col>1</xdr:col>
      <xdr:colOff>407160</xdr:colOff>
      <xdr:row>19</xdr:row>
      <xdr:rowOff>123840</xdr:rowOff>
    </xdr:to>
    <xdr:sp>
      <xdr:nvSpPr>
        <xdr:cNvPr id="1" name="TextBox 2"/>
        <xdr:cNvSpPr/>
      </xdr:nvSpPr>
      <xdr:spPr>
        <a:xfrm>
          <a:off x="824400" y="3888000"/>
          <a:ext cx="18468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𝑦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_𝑡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74880</xdr:colOff>
      <xdr:row>19</xdr:row>
      <xdr:rowOff>3960</xdr:rowOff>
    </xdr:from>
    <xdr:to>
      <xdr:col>2</xdr:col>
      <xdr:colOff>543960</xdr:colOff>
      <xdr:row>19</xdr:row>
      <xdr:rowOff>147600</xdr:rowOff>
    </xdr:to>
    <xdr:sp>
      <xdr:nvSpPr>
        <xdr:cNvPr id="2" name="TextBox 3"/>
        <xdr:cNvSpPr/>
      </xdr:nvSpPr>
      <xdr:spPr>
        <a:xfrm>
          <a:off x="1278720" y="3907800"/>
          <a:ext cx="469080" cy="14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ru-RU" sz="1100" spc="-1" strike="noStrike">
              <a:solidFill>
                <a:srgbClr val="000000"/>
              </a:solidFill>
              <a:latin typeface="Calibri"/>
            </a:rPr>
            <a:t>𝑦</a:t>
          </a:r>
          <a:r>
            <a:rPr b="0" lang="ru-RU" sz="1100" spc="-1" strike="noStrike">
              <a:solidFill>
                <a:srgbClr val="000000"/>
              </a:solidFill>
              <a:latin typeface="Calibri"/>
            </a:rPr>
            <a:t>_(𝑡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−1</a:t>
          </a:r>
          <a:r>
            <a:rPr b="0" lang="ru-RU" sz="1100" spc="-1" strike="noStrike">
              <a:solidFill>
                <a:srgbClr val="000000"/>
              </a:solidFill>
              <a:latin typeface="Calibri"/>
            </a:rPr>
            <a:t>)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415080</xdr:colOff>
      <xdr:row>13</xdr:row>
      <xdr:rowOff>104400</xdr:rowOff>
    </xdr:from>
    <xdr:to>
      <xdr:col>6</xdr:col>
      <xdr:colOff>415440</xdr:colOff>
      <xdr:row>14</xdr:row>
      <xdr:rowOff>84960</xdr:rowOff>
    </xdr:to>
    <xdr:sp>
      <xdr:nvSpPr>
        <xdr:cNvPr id="3" name="TextBox 4"/>
        <xdr:cNvSpPr/>
      </xdr:nvSpPr>
      <xdr:spPr>
        <a:xfrm>
          <a:off x="4114440" y="286524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43200</xdr:colOff>
      <xdr:row>19</xdr:row>
      <xdr:rowOff>3960</xdr:rowOff>
    </xdr:from>
    <xdr:to>
      <xdr:col>3</xdr:col>
      <xdr:colOff>570240</xdr:colOff>
      <xdr:row>19</xdr:row>
      <xdr:rowOff>143640</xdr:rowOff>
    </xdr:to>
    <xdr:sp>
      <xdr:nvSpPr>
        <xdr:cNvPr id="4" name="TextBox 5"/>
        <xdr:cNvSpPr/>
      </xdr:nvSpPr>
      <xdr:spPr>
        <a:xfrm>
          <a:off x="1849320" y="3907800"/>
          <a:ext cx="52704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𝑦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_𝑡−𝑦 ̅_1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517320</xdr:colOff>
      <xdr:row>19</xdr:row>
      <xdr:rowOff>3960</xdr:rowOff>
    </xdr:from>
    <xdr:to>
      <xdr:col>5</xdr:col>
      <xdr:colOff>108720</xdr:colOff>
      <xdr:row>19</xdr:row>
      <xdr:rowOff>147600</xdr:rowOff>
    </xdr:to>
    <xdr:sp>
      <xdr:nvSpPr>
        <xdr:cNvPr id="5" name="TextBox 6"/>
        <xdr:cNvSpPr/>
      </xdr:nvSpPr>
      <xdr:spPr>
        <a:xfrm>
          <a:off x="2323440" y="3907800"/>
          <a:ext cx="795240" cy="14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libri"/>
            </a:rPr>
            <a:t>𝑦</a:t>
          </a:r>
          <a:r>
            <a:rPr b="0" lang="ru-RU" sz="1100" spc="-1" strike="noStrike">
              <a:solidFill>
                <a:srgbClr val="000000"/>
              </a:solidFill>
              <a:latin typeface="Calibri"/>
            </a:rPr>
            <a:t>_(𝑡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−1</a:t>
          </a:r>
          <a:r>
            <a:rPr b="0" lang="ru-RU" sz="1100" spc="-1" strike="noStrike">
              <a:solidFill>
                <a:srgbClr val="000000"/>
              </a:solidFill>
              <a:latin typeface="Calibri"/>
            </a:rPr>
            <a:t>)−𝑦 ̅_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2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4</xdr:col>
      <xdr:colOff>506160</xdr:colOff>
      <xdr:row>19</xdr:row>
      <xdr:rowOff>14040</xdr:rowOff>
    </xdr:from>
    <xdr:to>
      <xdr:col>7</xdr:col>
      <xdr:colOff>98280</xdr:colOff>
      <xdr:row>19</xdr:row>
      <xdr:rowOff>157680</xdr:rowOff>
    </xdr:to>
    <xdr:sp>
      <xdr:nvSpPr>
        <xdr:cNvPr id="6" name="TextBox 7"/>
        <xdr:cNvSpPr/>
      </xdr:nvSpPr>
      <xdr:spPr>
        <a:xfrm>
          <a:off x="2914200" y="3917880"/>
          <a:ext cx="1573200" cy="14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(</a:t>
          </a:r>
          <a:r>
            <a:rPr b="0" lang="ru-RU" sz="1100" spc="-1" strike="noStrike">
              <a:solidFill>
                <a:srgbClr val="000000"/>
              </a:solidFill>
              <a:latin typeface="Calibri"/>
            </a:rPr>
            <a:t>𝑦_𝑡−𝑦 ̅_1</a:t>
          </a:r>
          <a:r>
            <a:rPr b="0" lang="en-US" sz="1100" spc="-1" strike="noStrike">
              <a:solidFill>
                <a:srgbClr val="000000"/>
              </a:solidFill>
              <a:latin typeface="Calibri"/>
            </a:rPr>
            <a:t>)*(</a:t>
          </a:r>
          <a:r>
            <a:rPr b="0" lang="ru-RU" sz="1100" spc="-1" strike="noStrike">
              <a:solidFill>
                <a:srgbClr val="000000"/>
              </a:solidFill>
              <a:latin typeface="Calibri"/>
            </a:rPr>
            <a:t>𝑦_(𝑡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−1</a:t>
          </a:r>
          <a:r>
            <a:rPr b="0" lang="ru-RU" sz="1100" spc="-1" strike="noStrike">
              <a:solidFill>
                <a:srgbClr val="000000"/>
              </a:solidFill>
              <a:latin typeface="Calibri"/>
            </a:rPr>
            <a:t>)−𝑦 ̅_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2</a:t>
          </a:r>
          <a:r>
            <a:rPr b="0" lang="en-US" sz="1100" spc="-1" strike="noStrike">
              <a:solidFill>
                <a:srgbClr val="000000"/>
              </a:solidFill>
              <a:latin typeface="Calibri"/>
            </a:rPr>
            <a:t>)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622080</xdr:colOff>
      <xdr:row>19</xdr:row>
      <xdr:rowOff>3960</xdr:rowOff>
    </xdr:from>
    <xdr:to>
      <xdr:col>8</xdr:col>
      <xdr:colOff>41760</xdr:colOff>
      <xdr:row>19</xdr:row>
      <xdr:rowOff>143640</xdr:rowOff>
    </xdr:to>
    <xdr:sp>
      <xdr:nvSpPr>
        <xdr:cNvPr id="7" name="TextBox 8"/>
        <xdr:cNvSpPr/>
      </xdr:nvSpPr>
      <xdr:spPr>
        <a:xfrm>
          <a:off x="4321440" y="3907800"/>
          <a:ext cx="82872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(𝑦_𝑡−𝑦 ̅_1 )^2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606600</xdr:colOff>
      <xdr:row>19</xdr:row>
      <xdr:rowOff>3960</xdr:rowOff>
    </xdr:from>
    <xdr:to>
      <xdr:col>8</xdr:col>
      <xdr:colOff>939240</xdr:colOff>
      <xdr:row>19</xdr:row>
      <xdr:rowOff>147600</xdr:rowOff>
    </xdr:to>
    <xdr:sp>
      <xdr:nvSpPr>
        <xdr:cNvPr id="8" name="TextBox 9"/>
        <xdr:cNvSpPr/>
      </xdr:nvSpPr>
      <xdr:spPr>
        <a:xfrm>
          <a:off x="4995720" y="3907800"/>
          <a:ext cx="1051920" cy="14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libri"/>
            </a:rPr>
            <a:t>(𝑦_(𝑡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−1</a:t>
          </a:r>
          <a:r>
            <a:rPr b="0" lang="ru-RU" sz="1100" spc="-1" strike="noStrike">
              <a:solidFill>
                <a:srgbClr val="000000"/>
              </a:solidFill>
              <a:latin typeface="Calibri"/>
            </a:rPr>
            <a:t>)−𝑦 ̅_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2</a:t>
          </a:r>
          <a:r>
            <a:rPr b="0" lang="ru-RU" sz="1100" spc="-1" strike="noStrike">
              <a:solidFill>
                <a:srgbClr val="000000"/>
              </a:solidFill>
              <a:latin typeface="Calibri"/>
            </a:rPr>
            <a:t> )^2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169560</xdr:colOff>
      <xdr:row>30</xdr:row>
      <xdr:rowOff>3960</xdr:rowOff>
    </xdr:from>
    <xdr:to>
      <xdr:col>0</xdr:col>
      <xdr:colOff>407520</xdr:colOff>
      <xdr:row>30</xdr:row>
      <xdr:rowOff>143640</xdr:rowOff>
    </xdr:to>
    <xdr:sp>
      <xdr:nvSpPr>
        <xdr:cNvPr id="9" name="TextBox 10"/>
        <xdr:cNvSpPr/>
      </xdr:nvSpPr>
      <xdr:spPr>
        <a:xfrm>
          <a:off x="169560" y="6003360"/>
          <a:ext cx="23796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𝑦 ̅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_1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31</xdr:row>
      <xdr:rowOff>3960</xdr:rowOff>
    </xdr:from>
    <xdr:to>
      <xdr:col>0</xdr:col>
      <xdr:colOff>408600</xdr:colOff>
      <xdr:row>31</xdr:row>
      <xdr:rowOff>147600</xdr:rowOff>
    </xdr:to>
    <xdr:sp>
      <xdr:nvSpPr>
        <xdr:cNvPr id="10" name="TextBox 11"/>
        <xdr:cNvSpPr/>
      </xdr:nvSpPr>
      <xdr:spPr>
        <a:xfrm>
          <a:off x="152280" y="6193800"/>
          <a:ext cx="256320" cy="14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libri"/>
            </a:rPr>
            <a:t>𝑦 ̅</a:t>
          </a:r>
          <a:r>
            <a:rPr b="0" lang="ru-RU" sz="1100" spc="-1" strike="noStrike">
              <a:solidFill>
                <a:srgbClr val="000000"/>
              </a:solidFill>
              <a:latin typeface="Calibri"/>
            </a:rPr>
            <a:t>_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2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189360</xdr:colOff>
      <xdr:row>34</xdr:row>
      <xdr:rowOff>3960</xdr:rowOff>
    </xdr:from>
    <xdr:to>
      <xdr:col>0</xdr:col>
      <xdr:colOff>384840</xdr:colOff>
      <xdr:row>34</xdr:row>
      <xdr:rowOff>143640</xdr:rowOff>
    </xdr:to>
    <xdr:sp>
      <xdr:nvSpPr>
        <xdr:cNvPr id="11" name="TextBox 12"/>
        <xdr:cNvSpPr/>
      </xdr:nvSpPr>
      <xdr:spPr>
        <a:xfrm>
          <a:off x="189360" y="6765480"/>
          <a:ext cx="19548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𝑟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_1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4</xdr:col>
      <xdr:colOff>200160</xdr:colOff>
      <xdr:row>42</xdr:row>
      <xdr:rowOff>14040</xdr:rowOff>
    </xdr:from>
    <xdr:to>
      <xdr:col>4</xdr:col>
      <xdr:colOff>409680</xdr:colOff>
      <xdr:row>42</xdr:row>
      <xdr:rowOff>153720</xdr:rowOff>
    </xdr:to>
    <xdr:sp>
      <xdr:nvSpPr>
        <xdr:cNvPr id="12" name="TextBox 13"/>
        <xdr:cNvSpPr/>
      </xdr:nvSpPr>
      <xdr:spPr>
        <a:xfrm>
          <a:off x="2608200" y="8299440"/>
          <a:ext cx="20952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𝑡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^2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5</xdr:col>
      <xdr:colOff>243720</xdr:colOff>
      <xdr:row>42</xdr:row>
      <xdr:rowOff>3960</xdr:rowOff>
    </xdr:from>
    <xdr:to>
      <xdr:col>5</xdr:col>
      <xdr:colOff>446040</xdr:colOff>
      <xdr:row>42</xdr:row>
      <xdr:rowOff>143640</xdr:rowOff>
    </xdr:to>
    <xdr:sp>
      <xdr:nvSpPr>
        <xdr:cNvPr id="13" name="TextBox 14"/>
        <xdr:cNvSpPr/>
      </xdr:nvSpPr>
      <xdr:spPr>
        <a:xfrm>
          <a:off x="3253680" y="8289360"/>
          <a:ext cx="20232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libri"/>
            </a:rPr>
            <a:t>𝑦</a:t>
          </a:r>
          <a:r>
            <a:rPr b="0" lang="ru-RU" sz="1100" spc="-1" strike="noStrike">
              <a:solidFill>
                <a:srgbClr val="000000"/>
              </a:solidFill>
              <a:latin typeface="Calibri"/>
            </a:rPr>
            <a:t>_𝑡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4</xdr:col>
      <xdr:colOff>224640</xdr:colOff>
      <xdr:row>44</xdr:row>
      <xdr:rowOff>14040</xdr:rowOff>
    </xdr:from>
    <xdr:to>
      <xdr:col>4</xdr:col>
      <xdr:colOff>225000</xdr:colOff>
      <xdr:row>44</xdr:row>
      <xdr:rowOff>185400</xdr:rowOff>
    </xdr:to>
    <xdr:sp>
      <xdr:nvSpPr>
        <xdr:cNvPr id="14" name="TextBox 16"/>
        <xdr:cNvSpPr/>
      </xdr:nvSpPr>
      <xdr:spPr>
        <a:xfrm>
          <a:off x="2632680" y="868068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224640</xdr:colOff>
      <xdr:row>45</xdr:row>
      <xdr:rowOff>14040</xdr:rowOff>
    </xdr:from>
    <xdr:to>
      <xdr:col>4</xdr:col>
      <xdr:colOff>225000</xdr:colOff>
      <xdr:row>45</xdr:row>
      <xdr:rowOff>185400</xdr:rowOff>
    </xdr:to>
    <xdr:sp>
      <xdr:nvSpPr>
        <xdr:cNvPr id="15" name="TextBox 18"/>
        <xdr:cNvSpPr/>
      </xdr:nvSpPr>
      <xdr:spPr>
        <a:xfrm>
          <a:off x="2632680" y="887112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594360</xdr:colOff>
      <xdr:row>3</xdr:row>
      <xdr:rowOff>171360</xdr:rowOff>
    </xdr:from>
    <xdr:to>
      <xdr:col>8</xdr:col>
      <xdr:colOff>410760</xdr:colOff>
      <xdr:row>16</xdr:row>
      <xdr:rowOff>128880</xdr:rowOff>
    </xdr:to>
    <xdr:graphicFrame>
      <xdr:nvGraphicFramePr>
        <xdr:cNvPr id="16" name="Диаграмма 1"/>
        <xdr:cNvGraphicFramePr/>
      </xdr:nvGraphicFramePr>
      <xdr:xfrm>
        <a:off x="1798200" y="743040"/>
        <a:ext cx="3650040" cy="243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222480</xdr:colOff>
      <xdr:row>24</xdr:row>
      <xdr:rowOff>174600</xdr:rowOff>
    </xdr:from>
    <xdr:to>
      <xdr:col>1</xdr:col>
      <xdr:colOff>407160</xdr:colOff>
      <xdr:row>25</xdr:row>
      <xdr:rowOff>123840</xdr:rowOff>
    </xdr:to>
    <xdr:sp>
      <xdr:nvSpPr>
        <xdr:cNvPr id="17" name="TextBox 2"/>
        <xdr:cNvSpPr/>
      </xdr:nvSpPr>
      <xdr:spPr>
        <a:xfrm>
          <a:off x="824400" y="4746600"/>
          <a:ext cx="18468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𝑦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_𝑡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68040</xdr:colOff>
      <xdr:row>25</xdr:row>
      <xdr:rowOff>3960</xdr:rowOff>
    </xdr:from>
    <xdr:to>
      <xdr:col>2</xdr:col>
      <xdr:colOff>550440</xdr:colOff>
      <xdr:row>25</xdr:row>
      <xdr:rowOff>143640</xdr:rowOff>
    </xdr:to>
    <xdr:sp>
      <xdr:nvSpPr>
        <xdr:cNvPr id="18" name="TextBox 3"/>
        <xdr:cNvSpPr/>
      </xdr:nvSpPr>
      <xdr:spPr>
        <a:xfrm>
          <a:off x="1271880" y="4766400"/>
          <a:ext cx="48240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𝑦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_(𝑡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−1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)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43200</xdr:colOff>
      <xdr:row>25</xdr:row>
      <xdr:rowOff>3960</xdr:rowOff>
    </xdr:from>
    <xdr:to>
      <xdr:col>3</xdr:col>
      <xdr:colOff>570240</xdr:colOff>
      <xdr:row>25</xdr:row>
      <xdr:rowOff>143640</xdr:rowOff>
    </xdr:to>
    <xdr:sp>
      <xdr:nvSpPr>
        <xdr:cNvPr id="19" name="TextBox 4"/>
        <xdr:cNvSpPr/>
      </xdr:nvSpPr>
      <xdr:spPr>
        <a:xfrm>
          <a:off x="1849320" y="4766400"/>
          <a:ext cx="52704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𝑦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_𝑡−𝑦 ̅_1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502200</xdr:colOff>
      <xdr:row>25</xdr:row>
      <xdr:rowOff>3960</xdr:rowOff>
    </xdr:from>
    <xdr:to>
      <xdr:col>5</xdr:col>
      <xdr:colOff>123480</xdr:colOff>
      <xdr:row>25</xdr:row>
      <xdr:rowOff>143640</xdr:rowOff>
    </xdr:to>
    <xdr:sp>
      <xdr:nvSpPr>
        <xdr:cNvPr id="20" name="TextBox 5"/>
        <xdr:cNvSpPr/>
      </xdr:nvSpPr>
      <xdr:spPr>
        <a:xfrm>
          <a:off x="2308320" y="4766400"/>
          <a:ext cx="82512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𝑦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_(𝑡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−1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)−𝑦 ̅_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2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4</xdr:col>
      <xdr:colOff>488520</xdr:colOff>
      <xdr:row>25</xdr:row>
      <xdr:rowOff>14040</xdr:rowOff>
    </xdr:from>
    <xdr:to>
      <xdr:col>7</xdr:col>
      <xdr:colOff>155880</xdr:colOff>
      <xdr:row>25</xdr:row>
      <xdr:rowOff>157680</xdr:rowOff>
    </xdr:to>
    <xdr:sp>
      <xdr:nvSpPr>
        <xdr:cNvPr id="21" name="TextBox 6"/>
        <xdr:cNvSpPr/>
      </xdr:nvSpPr>
      <xdr:spPr>
        <a:xfrm>
          <a:off x="2896560" y="4776480"/>
          <a:ext cx="1607040" cy="143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(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𝑦_𝑡−𝑦 ̅_1</a:t>
          </a:r>
          <a:r>
            <a:rPr b="0" lang="en-US" sz="1100" spc="-1" strike="noStrike">
              <a:solidFill>
                <a:srgbClr val="000000"/>
              </a:solidFill>
              <a:latin typeface="Calibri"/>
            </a:rPr>
            <a:t>)*(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𝑦_(𝑡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−1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)−𝑦 ̅_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2</a:t>
          </a:r>
          <a:r>
            <a:rPr b="0" lang="en-US" sz="1100" spc="-1" strike="noStrike">
              <a:solidFill>
                <a:srgbClr val="000000"/>
              </a:solidFill>
              <a:latin typeface="Calibri"/>
            </a:rPr>
            <a:t>)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6</xdr:col>
      <xdr:colOff>669240</xdr:colOff>
      <xdr:row>25</xdr:row>
      <xdr:rowOff>3960</xdr:rowOff>
    </xdr:from>
    <xdr:to>
      <xdr:col>8</xdr:col>
      <xdr:colOff>72720</xdr:colOff>
      <xdr:row>25</xdr:row>
      <xdr:rowOff>143640</xdr:rowOff>
    </xdr:to>
    <xdr:sp>
      <xdr:nvSpPr>
        <xdr:cNvPr id="22" name="TextBox 7"/>
        <xdr:cNvSpPr/>
      </xdr:nvSpPr>
      <xdr:spPr>
        <a:xfrm>
          <a:off x="4281120" y="4766400"/>
          <a:ext cx="82908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(𝑦_𝑡−𝑦 ̅_1 )^2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7</xdr:col>
      <xdr:colOff>538560</xdr:colOff>
      <xdr:row>25</xdr:row>
      <xdr:rowOff>3960</xdr:rowOff>
    </xdr:from>
    <xdr:to>
      <xdr:col>8</xdr:col>
      <xdr:colOff>975960</xdr:colOff>
      <xdr:row>25</xdr:row>
      <xdr:rowOff>143640</xdr:rowOff>
    </xdr:to>
    <xdr:sp>
      <xdr:nvSpPr>
        <xdr:cNvPr id="23" name="TextBox 8"/>
        <xdr:cNvSpPr/>
      </xdr:nvSpPr>
      <xdr:spPr>
        <a:xfrm>
          <a:off x="4886280" y="4766400"/>
          <a:ext cx="112716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(𝑦_(𝑡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−1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)−𝑦 ̅_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2 )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^2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169560</xdr:colOff>
      <xdr:row>46</xdr:row>
      <xdr:rowOff>3960</xdr:rowOff>
    </xdr:from>
    <xdr:to>
      <xdr:col>0</xdr:col>
      <xdr:colOff>407520</xdr:colOff>
      <xdr:row>46</xdr:row>
      <xdr:rowOff>143640</xdr:rowOff>
    </xdr:to>
    <xdr:sp>
      <xdr:nvSpPr>
        <xdr:cNvPr id="24" name="TextBox 9"/>
        <xdr:cNvSpPr/>
      </xdr:nvSpPr>
      <xdr:spPr>
        <a:xfrm>
          <a:off x="169560" y="8767080"/>
          <a:ext cx="23796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𝑦 ̅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_1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161280</xdr:colOff>
      <xdr:row>47</xdr:row>
      <xdr:rowOff>3960</xdr:rowOff>
    </xdr:from>
    <xdr:to>
      <xdr:col>0</xdr:col>
      <xdr:colOff>399240</xdr:colOff>
      <xdr:row>47</xdr:row>
      <xdr:rowOff>143640</xdr:rowOff>
    </xdr:to>
    <xdr:sp>
      <xdr:nvSpPr>
        <xdr:cNvPr id="25" name="TextBox 10"/>
        <xdr:cNvSpPr/>
      </xdr:nvSpPr>
      <xdr:spPr>
        <a:xfrm>
          <a:off x="161280" y="8957520"/>
          <a:ext cx="23796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𝑦 ̅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_2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189360</xdr:colOff>
      <xdr:row>49</xdr:row>
      <xdr:rowOff>3960</xdr:rowOff>
    </xdr:from>
    <xdr:to>
      <xdr:col>0</xdr:col>
      <xdr:colOff>384840</xdr:colOff>
      <xdr:row>49</xdr:row>
      <xdr:rowOff>143640</xdr:rowOff>
    </xdr:to>
    <xdr:sp>
      <xdr:nvSpPr>
        <xdr:cNvPr id="26" name="TextBox 11"/>
        <xdr:cNvSpPr/>
      </xdr:nvSpPr>
      <xdr:spPr>
        <a:xfrm>
          <a:off x="189360" y="9338400"/>
          <a:ext cx="19548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𝑟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_1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4</xdr:col>
      <xdr:colOff>200160</xdr:colOff>
      <xdr:row>57</xdr:row>
      <xdr:rowOff>14040</xdr:rowOff>
    </xdr:from>
    <xdr:to>
      <xdr:col>4</xdr:col>
      <xdr:colOff>409680</xdr:colOff>
      <xdr:row>57</xdr:row>
      <xdr:rowOff>153720</xdr:rowOff>
    </xdr:to>
    <xdr:sp>
      <xdr:nvSpPr>
        <xdr:cNvPr id="27" name="TextBox 12"/>
        <xdr:cNvSpPr/>
      </xdr:nvSpPr>
      <xdr:spPr>
        <a:xfrm>
          <a:off x="2608200" y="10872720"/>
          <a:ext cx="20952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𝑡</a:t>
          </a:r>
          <a:r>
            <a:rPr b="0" lang="ru-RU" sz="1100" spc="-1" strike="noStrike">
              <a:solidFill>
                <a:srgbClr val="000000"/>
              </a:solidFill>
              <a:latin typeface="Cambria Math"/>
            </a:rPr>
            <a:t>^2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5</xdr:col>
      <xdr:colOff>243720</xdr:colOff>
      <xdr:row>57</xdr:row>
      <xdr:rowOff>3960</xdr:rowOff>
    </xdr:from>
    <xdr:to>
      <xdr:col>5</xdr:col>
      <xdr:colOff>446040</xdr:colOff>
      <xdr:row>57</xdr:row>
      <xdr:rowOff>143640</xdr:rowOff>
    </xdr:to>
    <xdr:sp>
      <xdr:nvSpPr>
        <xdr:cNvPr id="28" name="TextBox 13"/>
        <xdr:cNvSpPr/>
      </xdr:nvSpPr>
      <xdr:spPr>
        <a:xfrm>
          <a:off x="3253680" y="10862640"/>
          <a:ext cx="202320" cy="1396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ru-RU" sz="1100" spc="-1" strike="noStrike">
              <a:solidFill>
                <a:srgbClr val="000000"/>
              </a:solidFill>
              <a:latin typeface="Calibri"/>
            </a:rPr>
            <a:t>𝑦</a:t>
          </a:r>
          <a:r>
            <a:rPr b="0" lang="ru-RU" sz="1100" spc="-1" strike="noStrike">
              <a:solidFill>
                <a:srgbClr val="000000"/>
              </a:solidFill>
              <a:latin typeface="Calibri"/>
            </a:rPr>
            <a:t>_𝑡</a:t>
          </a:r>
          <a:endParaRPr b="0" lang="ru-RU" sz="1100" spc="-1" strike="noStrike">
            <a:latin typeface="Times New Roman"/>
          </a:endParaRPr>
        </a:p>
      </xdr:txBody>
    </xdr:sp>
    <xdr:clientData/>
  </xdr:twoCellAnchor>
  <xdr:twoCellAnchor editAs="oneCell">
    <xdr:from>
      <xdr:col>4</xdr:col>
      <xdr:colOff>224640</xdr:colOff>
      <xdr:row>59</xdr:row>
      <xdr:rowOff>14040</xdr:rowOff>
    </xdr:from>
    <xdr:to>
      <xdr:col>4</xdr:col>
      <xdr:colOff>225000</xdr:colOff>
      <xdr:row>59</xdr:row>
      <xdr:rowOff>185400</xdr:rowOff>
    </xdr:to>
    <xdr:sp>
      <xdr:nvSpPr>
        <xdr:cNvPr id="29" name="TextBox 14"/>
        <xdr:cNvSpPr/>
      </xdr:nvSpPr>
      <xdr:spPr>
        <a:xfrm>
          <a:off x="2632680" y="1125360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224640</xdr:colOff>
      <xdr:row>60</xdr:row>
      <xdr:rowOff>14040</xdr:rowOff>
    </xdr:from>
    <xdr:to>
      <xdr:col>4</xdr:col>
      <xdr:colOff>225000</xdr:colOff>
      <xdr:row>60</xdr:row>
      <xdr:rowOff>185400</xdr:rowOff>
    </xdr:to>
    <xdr:sp>
      <xdr:nvSpPr>
        <xdr:cNvPr id="30" name="TextBox 15"/>
        <xdr:cNvSpPr/>
      </xdr:nvSpPr>
      <xdr:spPr>
        <a:xfrm>
          <a:off x="2632680" y="11444040"/>
          <a:ext cx="360" cy="1713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"/>
  <sheetViews>
    <sheetView showFormulas="false" showGridLines="true" showRowColHeaders="true" showZeros="true" rightToLeft="false" tabSelected="false" showOutlineSymbols="true" defaultGridColor="true" view="normal" topLeftCell="A28" colorId="64" zoomScale="95" zoomScaleNormal="95" zoomScalePageLayoutView="100" workbookViewId="0">
      <selection pane="topLeft" activeCell="F55" activeCellId="0" sqref="F55"/>
    </sheetView>
  </sheetViews>
  <sheetFormatPr defaultColWidth="8.54296875" defaultRowHeight="15" zeroHeight="false" outlineLevelRow="0" outlineLevelCol="0"/>
  <cols>
    <col collapsed="false" customWidth="false" hidden="false" outlineLevel="0" max="5" min="1" style="1" width="8.54"/>
    <col collapsed="false" customWidth="true" hidden="false" outlineLevel="0" max="7" min="6" style="1" width="9.79"/>
    <col collapsed="false" customWidth="true" hidden="false" outlineLevel="0" max="8" min="8" style="1" width="10.2"/>
    <col collapsed="false" customWidth="true" hidden="false" outlineLevel="0" max="9" min="9" style="1" width="13.58"/>
    <col collapsed="false" customWidth="false" hidden="false" outlineLevel="0" max="16384" min="10" style="1" width="8.54"/>
  </cols>
  <sheetData>
    <row r="1" customFormat="false" ht="15" hidden="false" customHeight="false" outlineLevel="0" collapsed="false">
      <c r="A1" s="2" t="s">
        <v>0</v>
      </c>
      <c r="B1" s="3" t="n">
        <v>1992</v>
      </c>
      <c r="C1" s="3" t="n">
        <v>1993</v>
      </c>
      <c r="D1" s="3" t="n">
        <v>1994</v>
      </c>
      <c r="E1" s="3" t="n">
        <v>1995</v>
      </c>
      <c r="F1" s="3" t="n">
        <v>1996</v>
      </c>
      <c r="G1" s="3" t="n">
        <v>1997</v>
      </c>
      <c r="H1" s="3" t="n">
        <v>1998</v>
      </c>
      <c r="I1" s="3" t="n">
        <v>1999</v>
      </c>
      <c r="J1" s="3" t="n">
        <v>2000</v>
      </c>
    </row>
    <row r="2" customFormat="false" ht="37.4" hidden="false" customHeight="false" outlineLevel="0" collapsed="false">
      <c r="A2" s="4" t="s">
        <v>1</v>
      </c>
      <c r="B2" s="3" t="n">
        <v>246</v>
      </c>
      <c r="C2" s="3" t="n">
        <v>229</v>
      </c>
      <c r="D2" s="3" t="n">
        <v>152</v>
      </c>
      <c r="E2" s="3" t="n">
        <v>155</v>
      </c>
      <c r="F2" s="3" t="n">
        <v>190</v>
      </c>
      <c r="G2" s="3" t="n">
        <v>160</v>
      </c>
      <c r="H2" s="3" t="n">
        <v>107</v>
      </c>
      <c r="I2" s="3" t="n">
        <v>155</v>
      </c>
      <c r="J2" s="3" t="n">
        <v>160</v>
      </c>
    </row>
    <row r="4" customFormat="false" ht="15" hidden="false" customHeight="false" outlineLevel="0" collapsed="false">
      <c r="A4" s="5" t="s">
        <v>2</v>
      </c>
      <c r="B4" s="5"/>
      <c r="C4" s="5"/>
      <c r="D4" s="5"/>
      <c r="E4" s="5"/>
    </row>
    <row r="18" customFormat="false" ht="15" hidden="false" customHeight="false" outlineLevel="0" collapsed="false">
      <c r="A18" s="5" t="s">
        <v>3</v>
      </c>
      <c r="B18" s="5"/>
      <c r="C18" s="5"/>
      <c r="D18" s="5"/>
      <c r="E18" s="5"/>
      <c r="F18" s="5"/>
      <c r="G18" s="5"/>
    </row>
    <row r="20" customFormat="false" ht="15" hidden="false" customHeight="false" outlineLevel="0" collapsed="false">
      <c r="A20" s="2" t="s">
        <v>4</v>
      </c>
      <c r="B20" s="2"/>
      <c r="C20" s="2"/>
      <c r="D20" s="2"/>
      <c r="E20" s="2"/>
      <c r="F20" s="2"/>
      <c r="G20" s="2"/>
      <c r="H20" s="2"/>
      <c r="I20" s="2"/>
    </row>
    <row r="21" customFormat="false" ht="15" hidden="false" customHeight="false" outlineLevel="0" collapsed="false">
      <c r="A21" s="3" t="n">
        <v>1</v>
      </c>
      <c r="B21" s="3" t="n">
        <v>246</v>
      </c>
      <c r="C21" s="3" t="s">
        <v>5</v>
      </c>
      <c r="D21" s="3" t="s">
        <v>5</v>
      </c>
      <c r="E21" s="3" t="s">
        <v>5</v>
      </c>
      <c r="F21" s="3" t="s">
        <v>5</v>
      </c>
      <c r="G21" s="3"/>
      <c r="H21" s="3" t="s">
        <v>5</v>
      </c>
      <c r="I21" s="3" t="s">
        <v>5</v>
      </c>
    </row>
    <row r="22" customFormat="false" ht="15" hidden="false" customHeight="false" outlineLevel="0" collapsed="false">
      <c r="A22" s="3" t="n">
        <v>2</v>
      </c>
      <c r="B22" s="3" t="n">
        <v>229</v>
      </c>
      <c r="C22" s="3" t="n">
        <f aca="false">B21</f>
        <v>246</v>
      </c>
      <c r="D22" s="3" t="n">
        <f aca="false">B22-$B$31</f>
        <v>65.5</v>
      </c>
      <c r="E22" s="3" t="n">
        <f aca="false">C22-$B$32</f>
        <v>71.75</v>
      </c>
      <c r="F22" s="3" t="n">
        <f aca="false">D22*E22</f>
        <v>4699.625</v>
      </c>
      <c r="G22" s="3"/>
      <c r="H22" s="3" t="n">
        <f aca="false">D22*D22</f>
        <v>4290.25</v>
      </c>
      <c r="I22" s="3" t="n">
        <f aca="false">E22*E22</f>
        <v>5148.0625</v>
      </c>
    </row>
    <row r="23" customFormat="false" ht="15" hidden="false" customHeight="false" outlineLevel="0" collapsed="false">
      <c r="A23" s="3" t="n">
        <v>3</v>
      </c>
      <c r="B23" s="3" t="n">
        <v>152</v>
      </c>
      <c r="C23" s="3" t="n">
        <f aca="false">B22</f>
        <v>229</v>
      </c>
      <c r="D23" s="3" t="n">
        <f aca="false">B23-$B$31</f>
        <v>-11.5</v>
      </c>
      <c r="E23" s="3" t="n">
        <f aca="false">C23-$B$32</f>
        <v>54.75</v>
      </c>
      <c r="F23" s="3" t="n">
        <f aca="false">D23*E23</f>
        <v>-629.625</v>
      </c>
      <c r="G23" s="3"/>
      <c r="H23" s="3" t="n">
        <f aca="false">D23*D23</f>
        <v>132.25</v>
      </c>
      <c r="I23" s="3" t="n">
        <f aca="false">E23*E23</f>
        <v>2997.5625</v>
      </c>
    </row>
    <row r="24" customFormat="false" ht="15" hidden="false" customHeight="false" outlineLevel="0" collapsed="false">
      <c r="A24" s="3" t="n">
        <v>4</v>
      </c>
      <c r="B24" s="3" t="n">
        <v>155</v>
      </c>
      <c r="C24" s="3" t="n">
        <f aca="false">B23</f>
        <v>152</v>
      </c>
      <c r="D24" s="3" t="n">
        <f aca="false">B24-$B$31</f>
        <v>-8.5</v>
      </c>
      <c r="E24" s="3" t="n">
        <f aca="false">C24-$B$32</f>
        <v>-22.25</v>
      </c>
      <c r="F24" s="3" t="n">
        <f aca="false">D24*E24</f>
        <v>189.125</v>
      </c>
      <c r="G24" s="3"/>
      <c r="H24" s="3" t="n">
        <f aca="false">D24*D24</f>
        <v>72.25</v>
      </c>
      <c r="I24" s="3" t="n">
        <f aca="false">E24*E24</f>
        <v>495.0625</v>
      </c>
    </row>
    <row r="25" customFormat="false" ht="15" hidden="false" customHeight="false" outlineLevel="0" collapsed="false">
      <c r="A25" s="3" t="n">
        <v>5</v>
      </c>
      <c r="B25" s="3" t="n">
        <v>190</v>
      </c>
      <c r="C25" s="3" t="n">
        <f aca="false">B24</f>
        <v>155</v>
      </c>
      <c r="D25" s="3" t="n">
        <f aca="false">B25-$B$31</f>
        <v>26.5</v>
      </c>
      <c r="E25" s="3" t="n">
        <f aca="false">C25-$B$32</f>
        <v>-19.25</v>
      </c>
      <c r="F25" s="3" t="n">
        <f aca="false">D25*E25</f>
        <v>-510.125</v>
      </c>
      <c r="G25" s="3"/>
      <c r="H25" s="3" t="n">
        <f aca="false">D25*D25</f>
        <v>702.25</v>
      </c>
      <c r="I25" s="3" t="n">
        <f aca="false">E25*E25</f>
        <v>370.5625</v>
      </c>
    </row>
    <row r="26" customFormat="false" ht="15" hidden="false" customHeight="false" outlineLevel="0" collapsed="false">
      <c r="A26" s="3" t="n">
        <v>6</v>
      </c>
      <c r="B26" s="3" t="n">
        <v>160</v>
      </c>
      <c r="C26" s="3" t="n">
        <f aca="false">B25</f>
        <v>190</v>
      </c>
      <c r="D26" s="3" t="n">
        <f aca="false">B26-$B$31</f>
        <v>-3.5</v>
      </c>
      <c r="E26" s="3" t="n">
        <f aca="false">C26-$B$32</f>
        <v>15.75</v>
      </c>
      <c r="F26" s="3" t="n">
        <f aca="false">D26*E26</f>
        <v>-55.125</v>
      </c>
      <c r="G26" s="3"/>
      <c r="H26" s="3" t="n">
        <f aca="false">D26*D26</f>
        <v>12.25</v>
      </c>
      <c r="I26" s="3" t="n">
        <f aca="false">E26*E26</f>
        <v>248.0625</v>
      </c>
    </row>
    <row r="27" customFormat="false" ht="15" hidden="false" customHeight="false" outlineLevel="0" collapsed="false">
      <c r="A27" s="3" t="n">
        <v>7</v>
      </c>
      <c r="B27" s="3" t="n">
        <v>107</v>
      </c>
      <c r="C27" s="3" t="n">
        <f aca="false">B26</f>
        <v>160</v>
      </c>
      <c r="D27" s="3" t="n">
        <f aca="false">B27-$B$31</f>
        <v>-56.5</v>
      </c>
      <c r="E27" s="3" t="n">
        <f aca="false">C27-$B$32</f>
        <v>-14.25</v>
      </c>
      <c r="F27" s="3" t="n">
        <f aca="false">D27*E27</f>
        <v>805.125</v>
      </c>
      <c r="G27" s="3"/>
      <c r="H27" s="3" t="n">
        <f aca="false">D27*D27</f>
        <v>3192.25</v>
      </c>
      <c r="I27" s="3" t="n">
        <f aca="false">E27*E27</f>
        <v>203.0625</v>
      </c>
    </row>
    <row r="28" customFormat="false" ht="15" hidden="false" customHeight="false" outlineLevel="0" collapsed="false">
      <c r="A28" s="3" t="n">
        <v>8</v>
      </c>
      <c r="B28" s="3" t="n">
        <v>155</v>
      </c>
      <c r="C28" s="3" t="n">
        <f aca="false">B27</f>
        <v>107</v>
      </c>
      <c r="D28" s="3" t="n">
        <f aca="false">B28-$B$31</f>
        <v>-8.5</v>
      </c>
      <c r="E28" s="3" t="n">
        <f aca="false">C28-$B$32</f>
        <v>-67.25</v>
      </c>
      <c r="F28" s="3" t="n">
        <f aca="false">D28*E28</f>
        <v>571.625</v>
      </c>
      <c r="G28" s="3"/>
      <c r="H28" s="3" t="n">
        <f aca="false">D28*D28</f>
        <v>72.25</v>
      </c>
      <c r="I28" s="3" t="n">
        <f aca="false">E28*E28</f>
        <v>4522.5625</v>
      </c>
    </row>
    <row r="29" customFormat="false" ht="15" hidden="false" customHeight="false" outlineLevel="0" collapsed="false">
      <c r="A29" s="3" t="n">
        <v>9</v>
      </c>
      <c r="B29" s="3" t="n">
        <v>160</v>
      </c>
      <c r="C29" s="3" t="n">
        <f aca="false">B28</f>
        <v>155</v>
      </c>
      <c r="D29" s="3" t="n">
        <f aca="false">B29-$B$31</f>
        <v>-3.5</v>
      </c>
      <c r="E29" s="3" t="n">
        <f aca="false">C29-$B$32</f>
        <v>-19.25</v>
      </c>
      <c r="F29" s="3" t="n">
        <f aca="false">D29*E29</f>
        <v>67.375</v>
      </c>
      <c r="G29" s="3"/>
      <c r="H29" s="3" t="n">
        <f aca="false">D29*D29</f>
        <v>12.25</v>
      </c>
      <c r="I29" s="3" t="n">
        <f aca="false">E29*E29</f>
        <v>370.5625</v>
      </c>
    </row>
    <row r="31" customFormat="false" ht="15" hidden="false" customHeight="false" outlineLevel="0" collapsed="false">
      <c r="A31" s="6"/>
      <c r="B31" s="3" t="n">
        <f aca="false">SUM(B22:B29)/(A29-1)</f>
        <v>163.5</v>
      </c>
    </row>
    <row r="32" customFormat="false" ht="15" hidden="false" customHeight="false" outlineLevel="0" collapsed="false">
      <c r="A32" s="6"/>
      <c r="B32" s="3" t="n">
        <f aca="false">SUM(C22:C29)/(A29-1)</f>
        <v>174.25</v>
      </c>
    </row>
    <row r="35" customFormat="false" ht="15" hidden="false" customHeight="false" outlineLevel="0" collapsed="false">
      <c r="A35" s="6"/>
      <c r="B35" s="3" t="n">
        <f aca="false">SUM(F22:G29)/SQRT(SUM(H22:H29)*SUM(I22:I29))</f>
        <v>0.465514726579028</v>
      </c>
    </row>
    <row r="37" customFormat="false" ht="15" hidden="false" customHeight="false" outlineLevel="0" collapsed="false">
      <c r="A37" s="5" t="s">
        <v>6</v>
      </c>
      <c r="B37" s="5"/>
      <c r="C37" s="5"/>
      <c r="D37" s="5"/>
      <c r="E37" s="5"/>
      <c r="F37" s="5"/>
      <c r="G37" s="5"/>
      <c r="H37" s="5"/>
    </row>
    <row r="39" customFormat="false" ht="15" hidden="false" customHeight="false" outlineLevel="0" collapsed="false">
      <c r="A39" s="5" t="s">
        <v>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1" customFormat="false" ht="15" hidden="false" customHeight="false" outlineLevel="0" collapsed="false">
      <c r="A41" s="1" t="s">
        <v>8</v>
      </c>
    </row>
    <row r="43" customFormat="false" ht="15" hidden="false" customHeight="false" outlineLevel="0" collapsed="false">
      <c r="A43" s="2" t="s">
        <v>9</v>
      </c>
      <c r="B43" s="2" t="s">
        <v>10</v>
      </c>
      <c r="C43" s="2" t="s">
        <v>4</v>
      </c>
      <c r="D43" s="2" t="s">
        <v>11</v>
      </c>
      <c r="E43" s="2"/>
      <c r="F43" s="2"/>
      <c r="H43" s="7" t="s">
        <v>12</v>
      </c>
      <c r="I43" s="8" t="n">
        <f aca="false">B54-I44*C54</f>
        <v>226.916666666667</v>
      </c>
    </row>
    <row r="44" customFormat="false" ht="15" hidden="false" customHeight="false" outlineLevel="0" collapsed="false">
      <c r="A44" s="3" t="n">
        <v>1</v>
      </c>
      <c r="B44" s="3" t="n">
        <v>246</v>
      </c>
      <c r="C44" s="3" t="n">
        <v>1</v>
      </c>
      <c r="D44" s="3" t="n">
        <f aca="false">B44*C44</f>
        <v>246</v>
      </c>
      <c r="E44" s="3" t="n">
        <f aca="false">C44*C44</f>
        <v>1</v>
      </c>
      <c r="F44" s="3" t="n">
        <f aca="false">$I$43+$I$44*C44</f>
        <v>216.066666666667</v>
      </c>
      <c r="H44" s="7" t="s">
        <v>13</v>
      </c>
      <c r="I44" s="8" t="n">
        <f aca="false">(D54-B54*C54)/(E54-C54*C54)</f>
        <v>-10.85</v>
      </c>
    </row>
    <row r="45" customFormat="false" ht="15" hidden="false" customHeight="false" outlineLevel="0" collapsed="false">
      <c r="A45" s="3" t="n">
        <v>2</v>
      </c>
      <c r="B45" s="3" t="n">
        <v>229</v>
      </c>
      <c r="C45" s="3" t="n">
        <v>2</v>
      </c>
      <c r="D45" s="3" t="n">
        <f aca="false">B45*C45</f>
        <v>458</v>
      </c>
      <c r="E45" s="3" t="n">
        <f aca="false">C45*C45</f>
        <v>4</v>
      </c>
      <c r="F45" s="3" t="n">
        <f aca="false">$I$43+$I$44*C45</f>
        <v>205.216666666667</v>
      </c>
    </row>
    <row r="46" customFormat="false" ht="15" hidden="false" customHeight="false" outlineLevel="0" collapsed="false">
      <c r="A46" s="3" t="n">
        <v>3</v>
      </c>
      <c r="B46" s="3" t="n">
        <v>152</v>
      </c>
      <c r="C46" s="3" t="n">
        <v>3</v>
      </c>
      <c r="D46" s="3" t="n">
        <f aca="false">B46*C46</f>
        <v>456</v>
      </c>
      <c r="E46" s="3" t="n">
        <f aca="false">C46*C46</f>
        <v>9</v>
      </c>
      <c r="F46" s="3" t="n">
        <f aca="false">$I$43+$I$44*C46</f>
        <v>194.366666666667</v>
      </c>
    </row>
    <row r="47" customFormat="false" ht="15" hidden="false" customHeight="false" outlineLevel="0" collapsed="false">
      <c r="A47" s="3" t="n">
        <v>4</v>
      </c>
      <c r="B47" s="3" t="n">
        <v>155</v>
      </c>
      <c r="C47" s="3" t="n">
        <v>4</v>
      </c>
      <c r="D47" s="3" t="n">
        <f aca="false">B47*C47</f>
        <v>620</v>
      </c>
      <c r="E47" s="3" t="n">
        <f aca="false">C47*C47</f>
        <v>16</v>
      </c>
      <c r="F47" s="3" t="n">
        <f aca="false">$I$43+$I$44*C47</f>
        <v>183.516666666667</v>
      </c>
      <c r="H47" s="9" t="s">
        <v>14</v>
      </c>
      <c r="I47" s="9"/>
      <c r="J47" s="9"/>
    </row>
    <row r="48" customFormat="false" ht="15" hidden="false" customHeight="false" outlineLevel="0" collapsed="false">
      <c r="A48" s="3" t="n">
        <v>5</v>
      </c>
      <c r="B48" s="3" t="n">
        <v>190</v>
      </c>
      <c r="C48" s="3" t="n">
        <v>5</v>
      </c>
      <c r="D48" s="3" t="n">
        <f aca="false">B48*C48</f>
        <v>950</v>
      </c>
      <c r="E48" s="3" t="n">
        <f aca="false">C48*C48</f>
        <v>25</v>
      </c>
      <c r="F48" s="3" t="n">
        <f aca="false">$I$43+$I$44*C48</f>
        <v>172.666666666667</v>
      </c>
    </row>
    <row r="49" customFormat="false" ht="15" hidden="false" customHeight="false" outlineLevel="0" collapsed="false">
      <c r="A49" s="3" t="n">
        <v>6</v>
      </c>
      <c r="B49" s="3" t="n">
        <v>160</v>
      </c>
      <c r="C49" s="3" t="n">
        <v>6</v>
      </c>
      <c r="D49" s="3" t="n">
        <f aca="false">B49*C49</f>
        <v>960</v>
      </c>
      <c r="E49" s="3" t="n">
        <f aca="false">C49*C49</f>
        <v>36</v>
      </c>
      <c r="F49" s="3" t="n">
        <f aca="false">$I$43+$I$44*C49</f>
        <v>161.816666666667</v>
      </c>
      <c r="H49" s="5" t="s">
        <v>15</v>
      </c>
      <c r="I49" s="5"/>
      <c r="J49" s="5"/>
      <c r="K49" s="5"/>
      <c r="L49" s="5"/>
      <c r="M49" s="5"/>
      <c r="N49" s="5"/>
      <c r="O49" s="5"/>
      <c r="P49" s="5"/>
    </row>
    <row r="50" customFormat="false" ht="15" hidden="false" customHeight="false" outlineLevel="0" collapsed="false">
      <c r="A50" s="3" t="n">
        <v>7</v>
      </c>
      <c r="B50" s="3" t="n">
        <v>107</v>
      </c>
      <c r="C50" s="3" t="n">
        <v>7</v>
      </c>
      <c r="D50" s="3" t="n">
        <f aca="false">B50*C50</f>
        <v>749</v>
      </c>
      <c r="E50" s="3" t="n">
        <f aca="false">C50*C50</f>
        <v>49</v>
      </c>
      <c r="F50" s="3" t="n">
        <f aca="false">$I$43+$I$44*C50</f>
        <v>150.966666666667</v>
      </c>
    </row>
    <row r="51" customFormat="false" ht="15" hidden="false" customHeight="false" outlineLevel="0" collapsed="false">
      <c r="A51" s="3" t="n">
        <v>8</v>
      </c>
      <c r="B51" s="3" t="n">
        <v>155</v>
      </c>
      <c r="C51" s="3" t="n">
        <v>8</v>
      </c>
      <c r="D51" s="3" t="n">
        <f aca="false">B51*C51</f>
        <v>1240</v>
      </c>
      <c r="E51" s="3" t="n">
        <f aca="false">C51*C51</f>
        <v>64</v>
      </c>
      <c r="F51" s="3" t="n">
        <f aca="false">$I$43+$I$44*C51</f>
        <v>140.116666666667</v>
      </c>
    </row>
    <row r="52" customFormat="false" ht="15" hidden="false" customHeight="false" outlineLevel="0" collapsed="false">
      <c r="A52" s="3" t="n">
        <v>9</v>
      </c>
      <c r="B52" s="3" t="n">
        <v>160</v>
      </c>
      <c r="C52" s="3" t="n">
        <v>9</v>
      </c>
      <c r="D52" s="3" t="n">
        <f aca="false">B52*C52</f>
        <v>1440</v>
      </c>
      <c r="E52" s="3" t="n">
        <f aca="false">C52*C52</f>
        <v>81</v>
      </c>
      <c r="F52" s="3" t="n">
        <f aca="false">$I$43+$I$44*C52</f>
        <v>129.266666666667</v>
      </c>
    </row>
    <row r="53" customFormat="false" ht="15" hidden="false" customHeight="false" outlineLevel="0" collapsed="false">
      <c r="A53" s="10" t="s">
        <v>16</v>
      </c>
      <c r="B53" s="3" t="n">
        <f aca="false">SUM(B44:B52)</f>
        <v>1554</v>
      </c>
      <c r="C53" s="3" t="n">
        <f aca="false">SUM(C44:C52)</f>
        <v>45</v>
      </c>
      <c r="D53" s="3" t="n">
        <f aca="false">SUM(D44:D52)</f>
        <v>7119</v>
      </c>
      <c r="E53" s="3" t="n">
        <f aca="false">SUM(E44:E52)</f>
        <v>285</v>
      </c>
      <c r="F53" s="3" t="n">
        <f aca="false">SUM(F44:F52)</f>
        <v>1554</v>
      </c>
    </row>
    <row r="54" customFormat="false" ht="15" hidden="false" customHeight="false" outlineLevel="0" collapsed="false">
      <c r="A54" s="10" t="s">
        <v>17</v>
      </c>
      <c r="B54" s="3" t="n">
        <f aca="false">AVERAGE(B44:B52)</f>
        <v>172.666666666667</v>
      </c>
      <c r="C54" s="3" t="n">
        <f aca="false">AVERAGE(C44:C52)</f>
        <v>5</v>
      </c>
      <c r="D54" s="3" t="n">
        <f aca="false">AVERAGE(D44:D52)</f>
        <v>791</v>
      </c>
      <c r="E54" s="3" t="n">
        <f aca="false">AVERAGE(E44:E52)</f>
        <v>31.6666666666667</v>
      </c>
      <c r="F54" s="3" t="n">
        <f aca="false">AVERAGE(F44:F52)</f>
        <v>172.666666666667</v>
      </c>
    </row>
  </sheetData>
  <mergeCells count="16">
    <mergeCell ref="A4:E4"/>
    <mergeCell ref="A18:G18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7:H37"/>
    <mergeCell ref="A39:Q39"/>
    <mergeCell ref="H47:J47"/>
    <mergeCell ref="H49:P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true" showOutlineSymbols="true" defaultGridColor="true" view="normal" topLeftCell="A40" colorId="64" zoomScale="95" zoomScaleNormal="95" zoomScalePageLayoutView="100" workbookViewId="0">
      <selection pane="topLeft" activeCell="I46" activeCellId="0" sqref="I46"/>
    </sheetView>
  </sheetViews>
  <sheetFormatPr defaultColWidth="8.54296875" defaultRowHeight="15" zeroHeight="false" outlineLevelRow="0" outlineLevelCol="0"/>
  <cols>
    <col collapsed="false" customWidth="false" hidden="false" outlineLevel="0" max="6" min="1" style="1" width="8.54"/>
    <col collapsed="false" customWidth="true" hidden="false" outlineLevel="0" max="7" min="7" style="1" width="10.44"/>
    <col collapsed="false" customWidth="true" hidden="false" outlineLevel="0" max="8" min="8" style="1" width="9.79"/>
    <col collapsed="false" customWidth="true" hidden="false" outlineLevel="0" max="9" min="9" style="1" width="13.98"/>
    <col collapsed="false" customWidth="false" hidden="false" outlineLevel="0" max="16384" min="10" style="1" width="8.54"/>
  </cols>
  <sheetData>
    <row r="1" customFormat="false" ht="15" hidden="false" customHeight="false" outlineLevel="0" collapsed="false">
      <c r="A1" s="1" t="s">
        <v>18</v>
      </c>
    </row>
    <row r="3" customFormat="false" ht="15" hidden="false" customHeight="false" outlineLevel="0" collapsed="false">
      <c r="A3" s="11" t="s">
        <v>19</v>
      </c>
      <c r="B3" s="11" t="s">
        <v>20</v>
      </c>
      <c r="D3" s="5" t="s">
        <v>21</v>
      </c>
      <c r="E3" s="5"/>
      <c r="F3" s="5"/>
      <c r="G3" s="5"/>
    </row>
    <row r="4" customFormat="false" ht="15" hidden="false" customHeight="false" outlineLevel="0" collapsed="false">
      <c r="A4" s="12" t="n">
        <v>1980</v>
      </c>
      <c r="B4" s="12" t="n">
        <v>6.3</v>
      </c>
    </row>
    <row r="5" customFormat="false" ht="15" hidden="false" customHeight="false" outlineLevel="0" collapsed="false">
      <c r="A5" s="12" t="n">
        <v>1981</v>
      </c>
      <c r="B5" s="12" t="n">
        <v>6.9</v>
      </c>
    </row>
    <row r="6" customFormat="false" ht="15" hidden="false" customHeight="false" outlineLevel="0" collapsed="false">
      <c r="A6" s="12" t="n">
        <v>1982</v>
      </c>
      <c r="B6" s="12" t="n">
        <v>6.1</v>
      </c>
    </row>
    <row r="7" customFormat="false" ht="15" hidden="false" customHeight="false" outlineLevel="0" collapsed="false">
      <c r="A7" s="12" t="n">
        <v>1983</v>
      </c>
      <c r="B7" s="12" t="n">
        <v>10.4</v>
      </c>
    </row>
    <row r="8" customFormat="false" ht="15" hidden="false" customHeight="false" outlineLevel="0" collapsed="false">
      <c r="A8" s="12" t="n">
        <v>1984</v>
      </c>
      <c r="B8" s="12" t="n">
        <v>10</v>
      </c>
    </row>
    <row r="9" customFormat="false" ht="15" hidden="false" customHeight="false" outlineLevel="0" collapsed="false">
      <c r="A9" s="12" t="n">
        <v>1985</v>
      </c>
      <c r="B9" s="12" t="n">
        <v>9.7</v>
      </c>
    </row>
    <row r="10" customFormat="false" ht="15" hidden="false" customHeight="false" outlineLevel="0" collapsed="false">
      <c r="A10" s="12" t="n">
        <v>1986</v>
      </c>
      <c r="B10" s="12" t="n">
        <v>10.6</v>
      </c>
    </row>
    <row r="11" customFormat="false" ht="15" hidden="false" customHeight="false" outlineLevel="0" collapsed="false">
      <c r="A11" s="12" t="n">
        <v>1987</v>
      </c>
      <c r="B11" s="12" t="n">
        <v>8.2</v>
      </c>
    </row>
    <row r="12" customFormat="false" ht="15" hidden="false" customHeight="false" outlineLevel="0" collapsed="false">
      <c r="A12" s="12" t="n">
        <v>1988</v>
      </c>
      <c r="B12" s="12" t="n">
        <v>7.3</v>
      </c>
    </row>
    <row r="13" customFormat="false" ht="15" hidden="false" customHeight="false" outlineLevel="0" collapsed="false">
      <c r="A13" s="12" t="n">
        <v>1989</v>
      </c>
      <c r="B13" s="12" t="n">
        <v>10</v>
      </c>
    </row>
    <row r="14" customFormat="false" ht="15" hidden="false" customHeight="false" outlineLevel="0" collapsed="false">
      <c r="A14" s="12" t="n">
        <v>1990</v>
      </c>
      <c r="B14" s="12" t="n">
        <v>12.4</v>
      </c>
    </row>
    <row r="15" customFormat="false" ht="15" hidden="false" customHeight="false" outlineLevel="0" collapsed="false">
      <c r="A15" s="12" t="n">
        <v>1991</v>
      </c>
      <c r="B15" s="12" t="n">
        <v>9</v>
      </c>
    </row>
    <row r="16" customFormat="false" ht="15" hidden="false" customHeight="false" outlineLevel="0" collapsed="false">
      <c r="A16" s="12" t="n">
        <v>1992</v>
      </c>
      <c r="B16" s="12" t="n">
        <v>6.6</v>
      </c>
    </row>
    <row r="17" customFormat="false" ht="15" hidden="false" customHeight="false" outlineLevel="0" collapsed="false">
      <c r="A17" s="12" t="n">
        <v>1993</v>
      </c>
      <c r="B17" s="12" t="n">
        <v>9.6</v>
      </c>
    </row>
    <row r="18" customFormat="false" ht="15" hidden="false" customHeight="false" outlineLevel="0" collapsed="false">
      <c r="A18" s="12" t="n">
        <v>1994</v>
      </c>
      <c r="B18" s="12" t="n">
        <v>8.4</v>
      </c>
    </row>
    <row r="19" customFormat="false" ht="15" hidden="false" customHeight="false" outlineLevel="0" collapsed="false">
      <c r="A19" s="12" t="n">
        <v>1995</v>
      </c>
      <c r="B19" s="12" t="n">
        <v>5.9</v>
      </c>
    </row>
    <row r="20" customFormat="false" ht="15" hidden="false" customHeight="false" outlineLevel="0" collapsed="false">
      <c r="A20" s="12" t="n">
        <v>1996</v>
      </c>
      <c r="B20" s="12" t="n">
        <v>7.2</v>
      </c>
    </row>
    <row r="21" customFormat="false" ht="15" hidden="false" customHeight="false" outlineLevel="0" collapsed="false">
      <c r="A21" s="12" t="n">
        <v>1997</v>
      </c>
      <c r="B21" s="12" t="n">
        <v>10.8</v>
      </c>
    </row>
    <row r="22" customFormat="false" ht="15" hidden="false" customHeight="false" outlineLevel="0" collapsed="false">
      <c r="A22" s="12" t="n">
        <v>1998</v>
      </c>
      <c r="B22" s="12" t="n">
        <v>12.8</v>
      </c>
    </row>
    <row r="24" customFormat="false" ht="15" hidden="false" customHeight="false" outlineLevel="0" collapsed="false">
      <c r="A24" s="5" t="s">
        <v>3</v>
      </c>
      <c r="B24" s="5"/>
      <c r="C24" s="5"/>
      <c r="D24" s="5"/>
      <c r="E24" s="5"/>
      <c r="F24" s="5"/>
      <c r="G24" s="5"/>
    </row>
    <row r="26" customFormat="false" ht="15" hidden="false" customHeight="false" outlineLevel="0" collapsed="false">
      <c r="A26" s="2" t="s">
        <v>4</v>
      </c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3" t="n">
        <v>1</v>
      </c>
      <c r="B27" s="3" t="n">
        <v>6.3</v>
      </c>
      <c r="C27" s="3" t="s">
        <v>5</v>
      </c>
      <c r="D27" s="3" t="s">
        <v>5</v>
      </c>
      <c r="E27" s="3" t="s">
        <v>5</v>
      </c>
      <c r="F27" s="3" t="s">
        <v>5</v>
      </c>
      <c r="G27" s="3"/>
      <c r="H27" s="3" t="s">
        <v>5</v>
      </c>
      <c r="I27" s="3" t="s">
        <v>5</v>
      </c>
    </row>
    <row r="28" customFormat="false" ht="15" hidden="false" customHeight="false" outlineLevel="0" collapsed="false">
      <c r="A28" s="3" t="n">
        <v>2</v>
      </c>
      <c r="B28" s="3" t="n">
        <v>6.9</v>
      </c>
      <c r="C28" s="3" t="n">
        <f aca="false">B27</f>
        <v>6.3</v>
      </c>
      <c r="D28" s="13" t="n">
        <f aca="false">B28-$B$47</f>
        <v>-2.09444444444445</v>
      </c>
      <c r="E28" s="13" t="n">
        <f aca="false">C28-$B$48</f>
        <v>-2.33333333333333</v>
      </c>
      <c r="F28" s="13" t="n">
        <f aca="false">D28*E28</f>
        <v>4.88703703703704</v>
      </c>
      <c r="G28" s="13"/>
      <c r="H28" s="13" t="n">
        <f aca="false">D28*D28</f>
        <v>4.3866975308642</v>
      </c>
      <c r="I28" s="13" t="n">
        <f aca="false">E28*E28</f>
        <v>5.44444444444444</v>
      </c>
    </row>
    <row r="29" customFormat="false" ht="15" hidden="false" customHeight="false" outlineLevel="0" collapsed="false">
      <c r="A29" s="3" t="n">
        <v>3</v>
      </c>
      <c r="B29" s="3" t="n">
        <v>6.1</v>
      </c>
      <c r="C29" s="3" t="n">
        <f aca="false">B28</f>
        <v>6.9</v>
      </c>
      <c r="D29" s="13" t="n">
        <f aca="false">B29-$B$47</f>
        <v>-2.89444444444445</v>
      </c>
      <c r="E29" s="13" t="n">
        <f aca="false">C29-$B$48</f>
        <v>-1.73333333333333</v>
      </c>
      <c r="F29" s="13" t="n">
        <f aca="false">D29*E29</f>
        <v>5.01703703703704</v>
      </c>
      <c r="G29" s="13"/>
      <c r="H29" s="13" t="n">
        <f aca="false">D29*D29</f>
        <v>8.37780864197532</v>
      </c>
      <c r="I29" s="13" t="n">
        <f aca="false">E29*E29</f>
        <v>3.00444444444444</v>
      </c>
    </row>
    <row r="30" customFormat="false" ht="15" hidden="false" customHeight="false" outlineLevel="0" collapsed="false">
      <c r="A30" s="3" t="n">
        <v>4</v>
      </c>
      <c r="B30" s="3" t="n">
        <v>10.4</v>
      </c>
      <c r="C30" s="3" t="n">
        <f aca="false">B29</f>
        <v>6.1</v>
      </c>
      <c r="D30" s="13" t="n">
        <f aca="false">B30-$B$47</f>
        <v>1.40555555555556</v>
      </c>
      <c r="E30" s="13" t="n">
        <f aca="false">C30-$B$48</f>
        <v>-2.53333333333333</v>
      </c>
      <c r="F30" s="13" t="n">
        <f aca="false">D30*E30</f>
        <v>-3.56074074074074</v>
      </c>
      <c r="G30" s="13"/>
      <c r="H30" s="13" t="n">
        <f aca="false">D30*D30</f>
        <v>1.97558641975308</v>
      </c>
      <c r="I30" s="13" t="n">
        <f aca="false">E30*E30</f>
        <v>6.41777777777778</v>
      </c>
    </row>
    <row r="31" customFormat="false" ht="15" hidden="false" customHeight="false" outlineLevel="0" collapsed="false">
      <c r="A31" s="3" t="n">
        <v>5</v>
      </c>
      <c r="B31" s="3" t="n">
        <v>10</v>
      </c>
      <c r="C31" s="3" t="n">
        <f aca="false">B30</f>
        <v>10.4</v>
      </c>
      <c r="D31" s="13" t="n">
        <f aca="false">B31-$B$47</f>
        <v>1.00555555555555</v>
      </c>
      <c r="E31" s="13" t="n">
        <f aca="false">C31-$B$48</f>
        <v>1.76666666666667</v>
      </c>
      <c r="F31" s="13" t="n">
        <f aca="false">D31*E31</f>
        <v>1.77648148148148</v>
      </c>
      <c r="G31" s="13"/>
      <c r="H31" s="13" t="n">
        <f aca="false">D31*D31</f>
        <v>1.01114197530864</v>
      </c>
      <c r="I31" s="13" t="n">
        <f aca="false">E31*E31</f>
        <v>3.12111111111111</v>
      </c>
    </row>
    <row r="32" customFormat="false" ht="15" hidden="false" customHeight="false" outlineLevel="0" collapsed="false">
      <c r="A32" s="3" t="n">
        <v>6</v>
      </c>
      <c r="B32" s="3" t="n">
        <v>9.7</v>
      </c>
      <c r="C32" s="3" t="n">
        <f aca="false">B31</f>
        <v>10</v>
      </c>
      <c r="D32" s="13" t="n">
        <f aca="false">B32-$B$47</f>
        <v>0.705555555555554</v>
      </c>
      <c r="E32" s="13" t="n">
        <f aca="false">C32-$B$48</f>
        <v>1.36666666666667</v>
      </c>
      <c r="F32" s="13" t="n">
        <f aca="false">D32*E32</f>
        <v>0.964259259259257</v>
      </c>
      <c r="G32" s="13"/>
      <c r="H32" s="13" t="n">
        <f aca="false">D32*D32</f>
        <v>0.497808641975306</v>
      </c>
      <c r="I32" s="13" t="n">
        <f aca="false">E32*E32</f>
        <v>1.86777777777778</v>
      </c>
    </row>
    <row r="33" customFormat="false" ht="15" hidden="false" customHeight="false" outlineLevel="0" collapsed="false">
      <c r="A33" s="3" t="n">
        <v>7</v>
      </c>
      <c r="B33" s="3" t="n">
        <v>10.6</v>
      </c>
      <c r="C33" s="3" t="n">
        <f aca="false">B32</f>
        <v>9.7</v>
      </c>
      <c r="D33" s="13" t="n">
        <f aca="false">B33-$B$47</f>
        <v>1.60555555555555</v>
      </c>
      <c r="E33" s="13" t="n">
        <f aca="false">C33-$B$48</f>
        <v>1.06666666666667</v>
      </c>
      <c r="F33" s="13" t="n">
        <f aca="false">D33*E33</f>
        <v>1.71259259259259</v>
      </c>
      <c r="G33" s="13"/>
      <c r="H33" s="13" t="n">
        <f aca="false">D33*D33</f>
        <v>2.5778086419753</v>
      </c>
      <c r="I33" s="13" t="n">
        <f aca="false">E33*E33</f>
        <v>1.13777777777778</v>
      </c>
    </row>
    <row r="34" customFormat="false" ht="15" hidden="false" customHeight="false" outlineLevel="0" collapsed="false">
      <c r="A34" s="3" t="n">
        <v>8</v>
      </c>
      <c r="B34" s="3" t="n">
        <v>8.2</v>
      </c>
      <c r="C34" s="3" t="n">
        <f aca="false">B33</f>
        <v>10.6</v>
      </c>
      <c r="D34" s="13" t="n">
        <f aca="false">B34-$B$47</f>
        <v>-0.794444444444446</v>
      </c>
      <c r="E34" s="13" t="n">
        <f aca="false">C34-$B$48</f>
        <v>1.96666666666667</v>
      </c>
      <c r="F34" s="13" t="n">
        <f aca="false">D34*E34</f>
        <v>-1.56240740740741</v>
      </c>
      <c r="G34" s="13"/>
      <c r="H34" s="13" t="n">
        <f aca="false">D34*D34</f>
        <v>0.631141975308645</v>
      </c>
      <c r="I34" s="13" t="n">
        <f aca="false">E34*E34</f>
        <v>3.86777777777778</v>
      </c>
    </row>
    <row r="35" customFormat="false" ht="15" hidden="false" customHeight="false" outlineLevel="0" collapsed="false">
      <c r="A35" s="3" t="n">
        <v>9</v>
      </c>
      <c r="B35" s="3" t="n">
        <v>7.3</v>
      </c>
      <c r="C35" s="3" t="n">
        <f aca="false">B34</f>
        <v>8.2</v>
      </c>
      <c r="D35" s="13" t="n">
        <f aca="false">B35-$B$47</f>
        <v>-1.69444444444445</v>
      </c>
      <c r="E35" s="13" t="n">
        <f aca="false">C35-$B$48</f>
        <v>-0.433333333333334</v>
      </c>
      <c r="F35" s="13" t="n">
        <f aca="false">D35*E35</f>
        <v>0.73425925925926</v>
      </c>
      <c r="G35" s="13"/>
      <c r="H35" s="13" t="n">
        <f aca="false">D35*D35</f>
        <v>2.87114197530865</v>
      </c>
      <c r="I35" s="13" t="n">
        <f aca="false">E35*E35</f>
        <v>0.187777777777778</v>
      </c>
    </row>
    <row r="36" customFormat="false" ht="15" hidden="false" customHeight="false" outlineLevel="0" collapsed="false">
      <c r="A36" s="3" t="n">
        <v>10</v>
      </c>
      <c r="B36" s="3" t="n">
        <v>10</v>
      </c>
      <c r="C36" s="3" t="n">
        <f aca="false">B35</f>
        <v>7.3</v>
      </c>
      <c r="D36" s="13" t="n">
        <f aca="false">B36-$B$47</f>
        <v>1.00555555555555</v>
      </c>
      <c r="E36" s="13" t="n">
        <f aca="false">C36-$B$48</f>
        <v>-1.33333333333333</v>
      </c>
      <c r="F36" s="13" t="n">
        <f aca="false">D36*E36</f>
        <v>-1.34074074074074</v>
      </c>
      <c r="G36" s="13"/>
      <c r="H36" s="13" t="n">
        <f aca="false">D36*D36</f>
        <v>1.01114197530864</v>
      </c>
      <c r="I36" s="13" t="n">
        <f aca="false">E36*E36</f>
        <v>1.77777777777778</v>
      </c>
    </row>
    <row r="37" customFormat="false" ht="15" hidden="false" customHeight="false" outlineLevel="0" collapsed="false">
      <c r="A37" s="3" t="n">
        <v>11</v>
      </c>
      <c r="B37" s="3" t="n">
        <v>12.4</v>
      </c>
      <c r="C37" s="3" t="n">
        <f aca="false">B36</f>
        <v>10</v>
      </c>
      <c r="D37" s="13" t="n">
        <f aca="false">B37-$B$47</f>
        <v>3.40555555555556</v>
      </c>
      <c r="E37" s="13" t="n">
        <f aca="false">C37-$B$48</f>
        <v>1.36666666666667</v>
      </c>
      <c r="F37" s="13" t="n">
        <f aca="false">D37*E37</f>
        <v>4.65425925925926</v>
      </c>
      <c r="G37" s="13"/>
      <c r="H37" s="13" t="n">
        <f aca="false">D37*D37</f>
        <v>11.5978086419753</v>
      </c>
      <c r="I37" s="13" t="n">
        <f aca="false">E37*E37</f>
        <v>1.86777777777778</v>
      </c>
    </row>
    <row r="38" customFormat="false" ht="15" hidden="false" customHeight="false" outlineLevel="0" collapsed="false">
      <c r="A38" s="3" t="n">
        <v>12</v>
      </c>
      <c r="B38" s="3" t="n">
        <v>9</v>
      </c>
      <c r="C38" s="3" t="n">
        <f aca="false">B37</f>
        <v>12.4</v>
      </c>
      <c r="D38" s="13" t="n">
        <f aca="false">B38-$B$47</f>
        <v>0.00555555555555465</v>
      </c>
      <c r="E38" s="13" t="n">
        <f aca="false">C38-$B$48</f>
        <v>3.76666666666667</v>
      </c>
      <c r="F38" s="13" t="n">
        <f aca="false">D38*E38</f>
        <v>0.0209259259259225</v>
      </c>
      <c r="G38" s="13"/>
      <c r="H38" s="13" t="n">
        <f aca="false">D38*D38</f>
        <v>3.08641975308541E-005</v>
      </c>
      <c r="I38" s="13" t="n">
        <f aca="false">E38*E38</f>
        <v>14.1877777777778</v>
      </c>
    </row>
    <row r="39" customFormat="false" ht="15" hidden="false" customHeight="false" outlineLevel="0" collapsed="false">
      <c r="A39" s="3" t="n">
        <v>13</v>
      </c>
      <c r="B39" s="3" t="n">
        <v>6.6</v>
      </c>
      <c r="C39" s="3" t="n">
        <f aca="false">B38</f>
        <v>9</v>
      </c>
      <c r="D39" s="13" t="n">
        <f aca="false">B39-$B$47</f>
        <v>-2.39444444444445</v>
      </c>
      <c r="E39" s="13" t="n">
        <f aca="false">C39-$B$48</f>
        <v>0.366666666666667</v>
      </c>
      <c r="F39" s="13" t="n">
        <f aca="false">D39*E39</f>
        <v>-0.877962962962965</v>
      </c>
      <c r="G39" s="13"/>
      <c r="H39" s="13" t="n">
        <f aca="false">D39*D39</f>
        <v>5.73336419753087</v>
      </c>
      <c r="I39" s="13" t="n">
        <f aca="false">E39*E39</f>
        <v>0.134444444444445</v>
      </c>
    </row>
    <row r="40" customFormat="false" ht="15" hidden="false" customHeight="false" outlineLevel="0" collapsed="false">
      <c r="A40" s="3" t="n">
        <v>14</v>
      </c>
      <c r="B40" s="3" t="n">
        <v>9.6</v>
      </c>
      <c r="C40" s="3" t="n">
        <f aca="false">B39</f>
        <v>6.6</v>
      </c>
      <c r="D40" s="13" t="n">
        <f aca="false">B40-$B$47</f>
        <v>0.605555555555554</v>
      </c>
      <c r="E40" s="13" t="n">
        <f aca="false">C40-$B$48</f>
        <v>-2.03333333333333</v>
      </c>
      <c r="F40" s="13" t="n">
        <f aca="false">D40*E40</f>
        <v>-1.23129629629629</v>
      </c>
      <c r="G40" s="13"/>
      <c r="H40" s="13" t="n">
        <f aca="false">D40*D40</f>
        <v>0.366697530864196</v>
      </c>
      <c r="I40" s="13" t="n">
        <f aca="false">E40*E40</f>
        <v>4.13444444444444</v>
      </c>
    </row>
    <row r="41" customFormat="false" ht="15" hidden="false" customHeight="false" outlineLevel="0" collapsed="false">
      <c r="A41" s="3" t="n">
        <v>15</v>
      </c>
      <c r="B41" s="3" t="n">
        <v>8.4</v>
      </c>
      <c r="C41" s="3" t="n">
        <f aca="false">B40</f>
        <v>9.6</v>
      </c>
      <c r="D41" s="13" t="n">
        <f aca="false">B41-$B$47</f>
        <v>-0.594444444444445</v>
      </c>
      <c r="E41" s="13" t="n">
        <f aca="false">C41-$B$48</f>
        <v>0.966666666666667</v>
      </c>
      <c r="F41" s="13" t="n">
        <f aca="false">D41*E41</f>
        <v>-0.57462962962963</v>
      </c>
      <c r="G41" s="13"/>
      <c r="H41" s="13" t="n">
        <f aca="false">D41*D41</f>
        <v>0.353364197530865</v>
      </c>
      <c r="I41" s="13" t="n">
        <f aca="false">E41*E41</f>
        <v>0.934444444444445</v>
      </c>
    </row>
    <row r="42" customFormat="false" ht="15" hidden="false" customHeight="false" outlineLevel="0" collapsed="false">
      <c r="A42" s="3" t="n">
        <v>16</v>
      </c>
      <c r="B42" s="3" t="n">
        <v>5.9</v>
      </c>
      <c r="C42" s="3" t="n">
        <f aca="false">B41</f>
        <v>8.4</v>
      </c>
      <c r="D42" s="13" t="n">
        <f aca="false">B42-$B$47</f>
        <v>-3.09444444444445</v>
      </c>
      <c r="E42" s="13" t="n">
        <f aca="false">C42-$B$48</f>
        <v>-0.233333333333333</v>
      </c>
      <c r="F42" s="13" t="n">
        <f aca="false">D42*E42</f>
        <v>0.722037037037035</v>
      </c>
      <c r="G42" s="13"/>
      <c r="H42" s="13" t="n">
        <f aca="false">D42*D42</f>
        <v>9.57558641975309</v>
      </c>
      <c r="I42" s="13" t="n">
        <f aca="false">E42*E42</f>
        <v>0.0544444444444441</v>
      </c>
    </row>
    <row r="43" customFormat="false" ht="15" hidden="false" customHeight="false" outlineLevel="0" collapsed="false">
      <c r="A43" s="3" t="n">
        <v>17</v>
      </c>
      <c r="B43" s="3" t="n">
        <v>7.2</v>
      </c>
      <c r="C43" s="3" t="n">
        <f aca="false">B42</f>
        <v>5.9</v>
      </c>
      <c r="D43" s="13" t="n">
        <f aca="false">B43-$B$47</f>
        <v>-1.79444444444445</v>
      </c>
      <c r="E43" s="13" t="n">
        <f aca="false">C43-$B$48</f>
        <v>-2.73333333333333</v>
      </c>
      <c r="F43" s="13" t="n">
        <f aca="false">D43*E43</f>
        <v>4.90481481481482</v>
      </c>
      <c r="G43" s="13"/>
      <c r="H43" s="13" t="n">
        <f aca="false">D43*D43</f>
        <v>3.22003086419753</v>
      </c>
      <c r="I43" s="13" t="n">
        <f aca="false">E43*E43</f>
        <v>7.47111111111111</v>
      </c>
    </row>
    <row r="44" customFormat="false" ht="15" hidden="false" customHeight="false" outlineLevel="0" collapsed="false">
      <c r="A44" s="3" t="n">
        <v>18</v>
      </c>
      <c r="B44" s="3" t="n">
        <v>10.8</v>
      </c>
      <c r="C44" s="3" t="n">
        <f aca="false">B43</f>
        <v>7.2</v>
      </c>
      <c r="D44" s="13" t="n">
        <f aca="false">B44-$B$47</f>
        <v>1.80555555555556</v>
      </c>
      <c r="E44" s="13" t="n">
        <f aca="false">C44-$B$48</f>
        <v>-1.43333333333333</v>
      </c>
      <c r="F44" s="13" t="n">
        <f aca="false">D44*E44</f>
        <v>-2.58796296296296</v>
      </c>
      <c r="G44" s="13"/>
      <c r="H44" s="13" t="n">
        <f aca="false">D44*D44</f>
        <v>3.26003086419753</v>
      </c>
      <c r="I44" s="13" t="n">
        <f aca="false">E44*E44</f>
        <v>2.05444444444444</v>
      </c>
    </row>
    <row r="45" customFormat="false" ht="15" hidden="false" customHeight="false" outlineLevel="0" collapsed="false">
      <c r="A45" s="3" t="n">
        <v>19</v>
      </c>
      <c r="B45" s="3" t="n">
        <v>12.8</v>
      </c>
      <c r="C45" s="3" t="n">
        <f aca="false">B44</f>
        <v>10.8</v>
      </c>
      <c r="D45" s="13" t="n">
        <f aca="false">B45-$B$47</f>
        <v>3.80555555555556</v>
      </c>
      <c r="E45" s="13" t="n">
        <f aca="false">C45-$B$48</f>
        <v>2.16666666666667</v>
      </c>
      <c r="F45" s="13" t="n">
        <f aca="false">D45*E45</f>
        <v>8.24537037037037</v>
      </c>
      <c r="G45" s="13"/>
      <c r="H45" s="13" t="n">
        <f aca="false">D45*D45</f>
        <v>14.4822530864198</v>
      </c>
      <c r="I45" s="13" t="n">
        <f aca="false">E45*E45</f>
        <v>4.69444444444445</v>
      </c>
    </row>
    <row r="47" customFormat="false" ht="15" hidden="false" customHeight="false" outlineLevel="0" collapsed="false">
      <c r="A47" s="6"/>
      <c r="B47" s="3" t="n">
        <f aca="false">SUM(B28:B45)/(A45-1)</f>
        <v>8.99444444444445</v>
      </c>
    </row>
    <row r="48" customFormat="false" ht="15" hidden="false" customHeight="false" outlineLevel="0" collapsed="false">
      <c r="A48" s="6"/>
      <c r="B48" s="3" t="n">
        <f aca="false">SUM(C28:C45)/(A45-1)</f>
        <v>8.63333333333333</v>
      </c>
    </row>
    <row r="50" customFormat="false" ht="15" hidden="false" customHeight="false" outlineLevel="0" collapsed="false">
      <c r="A50" s="6"/>
      <c r="B50" s="3" t="n">
        <f aca="false">SUM(F28:G44)/SQRT(SUM(H28:H44)*SUM(I28:I44))</f>
        <v>0.237297569609089</v>
      </c>
    </row>
    <row r="52" customFormat="false" ht="15" hidden="false" customHeight="false" outlineLevel="0" collapsed="false">
      <c r="A52" s="5" t="s">
        <v>6</v>
      </c>
      <c r="B52" s="5"/>
      <c r="C52" s="5"/>
      <c r="D52" s="5"/>
      <c r="E52" s="5"/>
      <c r="F52" s="5"/>
      <c r="G52" s="5"/>
      <c r="H52" s="5"/>
    </row>
    <row r="54" customFormat="false" ht="15" hidden="false" customHeight="false" outlineLevel="0" collapsed="false">
      <c r="A54" s="5" t="s">
        <v>22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6" customFormat="false" ht="15" hidden="false" customHeight="false" outlineLevel="0" collapsed="false">
      <c r="A56" s="1" t="s">
        <v>8</v>
      </c>
    </row>
    <row r="58" customFormat="false" ht="15" hidden="false" customHeight="false" outlineLevel="0" collapsed="false">
      <c r="A58" s="2" t="s">
        <v>9</v>
      </c>
      <c r="B58" s="2" t="s">
        <v>10</v>
      </c>
      <c r="C58" s="2" t="s">
        <v>4</v>
      </c>
      <c r="D58" s="2" t="s">
        <v>11</v>
      </c>
      <c r="E58" s="2"/>
      <c r="F58" s="2"/>
      <c r="H58" s="7" t="s">
        <v>12</v>
      </c>
      <c r="I58" s="8" t="n">
        <f aca="false">B79-I59*C79</f>
        <v>7.8578947368421</v>
      </c>
    </row>
    <row r="59" customFormat="false" ht="15" hidden="false" customHeight="false" outlineLevel="0" collapsed="false">
      <c r="A59" s="3" t="n">
        <v>1</v>
      </c>
      <c r="B59" s="3" t="n">
        <v>6.3</v>
      </c>
      <c r="C59" s="3" t="n">
        <v>1</v>
      </c>
      <c r="D59" s="3" t="n">
        <f aca="false">B59*C59</f>
        <v>6.3</v>
      </c>
      <c r="E59" s="3" t="n">
        <f aca="false">C59*C59</f>
        <v>1</v>
      </c>
      <c r="F59" s="3" t="n">
        <f aca="false">$I$58+$I$59*C59</f>
        <v>7.95736842105263</v>
      </c>
      <c r="H59" s="7" t="s">
        <v>13</v>
      </c>
      <c r="I59" s="8" t="n">
        <f aca="false">(D79-B79*C79)/(E79-C79*C79)</f>
        <v>0.0994736842105269</v>
      </c>
    </row>
    <row r="60" customFormat="false" ht="15" hidden="false" customHeight="false" outlineLevel="0" collapsed="false">
      <c r="A60" s="3" t="n">
        <v>2</v>
      </c>
      <c r="B60" s="3" t="n">
        <v>6.9</v>
      </c>
      <c r="C60" s="3" t="n">
        <v>2</v>
      </c>
      <c r="D60" s="3" t="n">
        <f aca="false">B60*C60</f>
        <v>13.8</v>
      </c>
      <c r="E60" s="3" t="n">
        <f aca="false">C60*C60</f>
        <v>4</v>
      </c>
      <c r="F60" s="3" t="n">
        <f aca="false">$I$58+$I$59*C60</f>
        <v>8.05684210526315</v>
      </c>
    </row>
    <row r="61" customFormat="false" ht="15" hidden="false" customHeight="false" outlineLevel="0" collapsed="false">
      <c r="A61" s="3" t="n">
        <v>3</v>
      </c>
      <c r="B61" s="3" t="n">
        <v>6.1</v>
      </c>
      <c r="C61" s="3" t="n">
        <v>3</v>
      </c>
      <c r="D61" s="3" t="n">
        <f aca="false">B61*C61</f>
        <v>18.3</v>
      </c>
      <c r="E61" s="3" t="n">
        <f aca="false">C61*C61</f>
        <v>9</v>
      </c>
      <c r="F61" s="3" t="n">
        <f aca="false">$I$58+$I$59*C61</f>
        <v>8.15631578947368</v>
      </c>
      <c r="H61" s="9" t="s">
        <v>23</v>
      </c>
      <c r="I61" s="9"/>
      <c r="J61" s="9"/>
    </row>
    <row r="62" customFormat="false" ht="15" hidden="false" customHeight="false" outlineLevel="0" collapsed="false">
      <c r="A62" s="3" t="n">
        <v>4</v>
      </c>
      <c r="B62" s="3" t="n">
        <v>10.4</v>
      </c>
      <c r="C62" s="3" t="n">
        <v>4</v>
      </c>
      <c r="D62" s="3" t="n">
        <f aca="false">B62*C62</f>
        <v>41.6</v>
      </c>
      <c r="E62" s="3" t="n">
        <f aca="false">C62*C62</f>
        <v>16</v>
      </c>
      <c r="F62" s="3" t="n">
        <f aca="false">$I$58+$I$59*C62</f>
        <v>8.25578947368421</v>
      </c>
    </row>
    <row r="63" customFormat="false" ht="15" hidden="false" customHeight="false" outlineLevel="0" collapsed="false">
      <c r="A63" s="3" t="n">
        <v>5</v>
      </c>
      <c r="B63" s="3" t="n">
        <v>10</v>
      </c>
      <c r="C63" s="3" t="n">
        <v>5</v>
      </c>
      <c r="D63" s="3" t="n">
        <f aca="false">B63*C63</f>
        <v>50</v>
      </c>
      <c r="E63" s="3" t="n">
        <f aca="false">C63*C63</f>
        <v>25</v>
      </c>
      <c r="F63" s="3" t="n">
        <f aca="false">$I$58+$I$59*C63</f>
        <v>8.35526315789473</v>
      </c>
      <c r="H63" s="5" t="s">
        <v>24</v>
      </c>
      <c r="I63" s="5"/>
      <c r="J63" s="5"/>
      <c r="K63" s="5"/>
      <c r="L63" s="5"/>
      <c r="M63" s="5"/>
      <c r="N63" s="5"/>
      <c r="O63" s="5"/>
      <c r="P63" s="5"/>
    </row>
    <row r="64" customFormat="false" ht="15" hidden="false" customHeight="false" outlineLevel="0" collapsed="false">
      <c r="A64" s="3" t="n">
        <v>6</v>
      </c>
      <c r="B64" s="3" t="n">
        <v>9.7</v>
      </c>
      <c r="C64" s="3" t="n">
        <v>6</v>
      </c>
      <c r="D64" s="3" t="n">
        <f aca="false">B64*C64</f>
        <v>58.2</v>
      </c>
      <c r="E64" s="3" t="n">
        <f aca="false">C64*C64</f>
        <v>36</v>
      </c>
      <c r="F64" s="3" t="n">
        <f aca="false">$I$58+$I$59*C64</f>
        <v>8.45473684210526</v>
      </c>
    </row>
    <row r="65" customFormat="false" ht="15" hidden="false" customHeight="false" outlineLevel="0" collapsed="false">
      <c r="A65" s="3" t="n">
        <v>7</v>
      </c>
      <c r="B65" s="3" t="n">
        <v>10.6</v>
      </c>
      <c r="C65" s="3" t="n">
        <v>7</v>
      </c>
      <c r="D65" s="3" t="n">
        <f aca="false">B65*C65</f>
        <v>74.2</v>
      </c>
      <c r="E65" s="3" t="n">
        <f aca="false">C65*C65</f>
        <v>49</v>
      </c>
      <c r="F65" s="3" t="n">
        <f aca="false">$I$58+$I$59*C65</f>
        <v>8.55421052631579</v>
      </c>
    </row>
    <row r="66" customFormat="false" ht="15" hidden="false" customHeight="false" outlineLevel="0" collapsed="false">
      <c r="A66" s="3" t="n">
        <v>8</v>
      </c>
      <c r="B66" s="3" t="n">
        <v>8.2</v>
      </c>
      <c r="C66" s="3" t="n">
        <v>8</v>
      </c>
      <c r="D66" s="3" t="n">
        <f aca="false">B66*C66</f>
        <v>65.6</v>
      </c>
      <c r="E66" s="3" t="n">
        <f aca="false">C66*C66</f>
        <v>64</v>
      </c>
      <c r="F66" s="3" t="n">
        <f aca="false">$I$58+$I$59*C66</f>
        <v>8.65368421052631</v>
      </c>
    </row>
    <row r="67" customFormat="false" ht="15" hidden="false" customHeight="false" outlineLevel="0" collapsed="false">
      <c r="A67" s="3" t="n">
        <v>9</v>
      </c>
      <c r="B67" s="3" t="n">
        <v>7.3</v>
      </c>
      <c r="C67" s="3" t="n">
        <v>9</v>
      </c>
      <c r="D67" s="3" t="n">
        <f aca="false">B67*C67</f>
        <v>65.7</v>
      </c>
      <c r="E67" s="3" t="n">
        <f aca="false">C67*C67</f>
        <v>81</v>
      </c>
      <c r="F67" s="3" t="n">
        <f aca="false">$I$58+$I$59*C67</f>
        <v>8.75315789473684</v>
      </c>
    </row>
    <row r="68" customFormat="false" ht="15" hidden="false" customHeight="false" outlineLevel="0" collapsed="false">
      <c r="A68" s="3" t="n">
        <v>10</v>
      </c>
      <c r="B68" s="3" t="n">
        <v>10</v>
      </c>
      <c r="C68" s="3" t="n">
        <v>10</v>
      </c>
      <c r="D68" s="3" t="n">
        <f aca="false">B68*C68</f>
        <v>100</v>
      </c>
      <c r="E68" s="3" t="n">
        <f aca="false">C68*C68</f>
        <v>100</v>
      </c>
      <c r="F68" s="3" t="n">
        <f aca="false">$I$58+$I$59*C68</f>
        <v>8.85263157894737</v>
      </c>
    </row>
    <row r="69" customFormat="false" ht="15" hidden="false" customHeight="false" outlineLevel="0" collapsed="false">
      <c r="A69" s="3" t="n">
        <v>11</v>
      </c>
      <c r="B69" s="3" t="n">
        <v>12.4</v>
      </c>
      <c r="C69" s="3" t="n">
        <v>11</v>
      </c>
      <c r="D69" s="3" t="n">
        <f aca="false">B69*C69</f>
        <v>136.4</v>
      </c>
      <c r="E69" s="3" t="n">
        <f aca="false">C69*C69</f>
        <v>121</v>
      </c>
      <c r="F69" s="3" t="n">
        <f aca="false">$I$58+$I$59*C69</f>
        <v>8.95210526315789</v>
      </c>
    </row>
    <row r="70" customFormat="false" ht="15" hidden="false" customHeight="false" outlineLevel="0" collapsed="false">
      <c r="A70" s="3" t="n">
        <v>12</v>
      </c>
      <c r="B70" s="3" t="n">
        <v>9</v>
      </c>
      <c r="C70" s="3" t="n">
        <v>12</v>
      </c>
      <c r="D70" s="3" t="n">
        <f aca="false">B70*C70</f>
        <v>108</v>
      </c>
      <c r="E70" s="3" t="n">
        <f aca="false">C70*C70</f>
        <v>144</v>
      </c>
      <c r="F70" s="3" t="n">
        <f aca="false">$I$58+$I$59*C70</f>
        <v>9.05157894736842</v>
      </c>
    </row>
    <row r="71" customFormat="false" ht="15" hidden="false" customHeight="false" outlineLevel="0" collapsed="false">
      <c r="A71" s="3" t="n">
        <v>13</v>
      </c>
      <c r="B71" s="3" t="n">
        <v>6.6</v>
      </c>
      <c r="C71" s="3" t="n">
        <v>13</v>
      </c>
      <c r="D71" s="3" t="n">
        <f aca="false">B71*C71</f>
        <v>85.8</v>
      </c>
      <c r="E71" s="3" t="n">
        <f aca="false">C71*C71</f>
        <v>169</v>
      </c>
      <c r="F71" s="3" t="n">
        <f aca="false">$I$58+$I$59*C71</f>
        <v>9.15105263157895</v>
      </c>
    </row>
    <row r="72" customFormat="false" ht="15" hidden="false" customHeight="false" outlineLevel="0" collapsed="false">
      <c r="A72" s="3" t="n">
        <v>14</v>
      </c>
      <c r="B72" s="3" t="n">
        <v>9.6</v>
      </c>
      <c r="C72" s="3" t="n">
        <v>14</v>
      </c>
      <c r="D72" s="3" t="n">
        <f aca="false">B72*C72</f>
        <v>134.4</v>
      </c>
      <c r="E72" s="3" t="n">
        <f aca="false">C72*C72</f>
        <v>196</v>
      </c>
      <c r="F72" s="3" t="n">
        <f aca="false">$I$58+$I$59*C72</f>
        <v>9.25052631578948</v>
      </c>
    </row>
    <row r="73" customFormat="false" ht="15" hidden="false" customHeight="false" outlineLevel="0" collapsed="false">
      <c r="A73" s="3" t="n">
        <v>15</v>
      </c>
      <c r="B73" s="3" t="n">
        <v>8.4</v>
      </c>
      <c r="C73" s="3" t="n">
        <v>15</v>
      </c>
      <c r="D73" s="3" t="n">
        <f aca="false">B73*C73</f>
        <v>126</v>
      </c>
      <c r="E73" s="3" t="n">
        <f aca="false">C73*C73</f>
        <v>225</v>
      </c>
      <c r="F73" s="3" t="n">
        <f aca="false">$I$58+$I$59*C73</f>
        <v>9.35</v>
      </c>
    </row>
    <row r="74" customFormat="false" ht="15" hidden="false" customHeight="false" outlineLevel="0" collapsed="false">
      <c r="A74" s="3" t="n">
        <v>16</v>
      </c>
      <c r="B74" s="3" t="n">
        <v>5.9</v>
      </c>
      <c r="C74" s="3" t="n">
        <v>16</v>
      </c>
      <c r="D74" s="3" t="n">
        <f aca="false">B74*C74</f>
        <v>94.4</v>
      </c>
      <c r="E74" s="3" t="n">
        <f aca="false">C74*C74</f>
        <v>256</v>
      </c>
      <c r="F74" s="3" t="n">
        <f aca="false">$I$58+$I$59*C74</f>
        <v>9.44947368421053</v>
      </c>
    </row>
    <row r="75" customFormat="false" ht="15" hidden="false" customHeight="false" outlineLevel="0" collapsed="false">
      <c r="A75" s="3" t="n">
        <v>17</v>
      </c>
      <c r="B75" s="3" t="n">
        <v>7.2</v>
      </c>
      <c r="C75" s="3" t="n">
        <v>17</v>
      </c>
      <c r="D75" s="3" t="n">
        <f aca="false">B75*C75</f>
        <v>122.4</v>
      </c>
      <c r="E75" s="3" t="n">
        <f aca="false">C75*C75</f>
        <v>289</v>
      </c>
      <c r="F75" s="3" t="n">
        <f aca="false">$I$58+$I$59*C75</f>
        <v>9.54894736842106</v>
      </c>
    </row>
    <row r="76" customFormat="false" ht="15" hidden="false" customHeight="false" outlineLevel="0" collapsed="false">
      <c r="A76" s="3" t="n">
        <v>18</v>
      </c>
      <c r="B76" s="3" t="n">
        <v>10.8</v>
      </c>
      <c r="C76" s="3" t="n">
        <v>18</v>
      </c>
      <c r="D76" s="3" t="n">
        <f aca="false">B76*C76</f>
        <v>194.4</v>
      </c>
      <c r="E76" s="3" t="n">
        <f aca="false">C76*C76</f>
        <v>324</v>
      </c>
      <c r="F76" s="3" t="n">
        <f aca="false">$I$58+$I$59*C76</f>
        <v>9.64842105263158</v>
      </c>
    </row>
    <row r="77" customFormat="false" ht="15" hidden="false" customHeight="false" outlineLevel="0" collapsed="false">
      <c r="A77" s="3" t="n">
        <v>19</v>
      </c>
      <c r="B77" s="3" t="n">
        <v>12.8</v>
      </c>
      <c r="C77" s="3" t="n">
        <v>19</v>
      </c>
      <c r="D77" s="3" t="n">
        <f aca="false">B77*C77</f>
        <v>243.2</v>
      </c>
      <c r="E77" s="3" t="n">
        <f aca="false">C77*C77</f>
        <v>361</v>
      </c>
      <c r="F77" s="3" t="n">
        <f aca="false">$I$58+$I$59*C77</f>
        <v>9.74789473684211</v>
      </c>
    </row>
    <row r="78" customFormat="false" ht="15" hidden="false" customHeight="false" outlineLevel="0" collapsed="false">
      <c r="A78" s="10" t="s">
        <v>16</v>
      </c>
      <c r="B78" s="3" t="n">
        <f aca="false">SUM(B59:B77)</f>
        <v>168.2</v>
      </c>
      <c r="C78" s="3" t="n">
        <f aca="false">SUM(C59:C77)</f>
        <v>190</v>
      </c>
      <c r="D78" s="3" t="n">
        <f aca="false">SUM(D59:D77)</f>
        <v>1738.7</v>
      </c>
      <c r="E78" s="3" t="n">
        <f aca="false">SUM(E59:E77)</f>
        <v>2470</v>
      </c>
      <c r="F78" s="3" t="n">
        <f aca="false">SUM(F59:F77)</f>
        <v>168.2</v>
      </c>
    </row>
    <row r="79" customFormat="false" ht="15" hidden="false" customHeight="false" outlineLevel="0" collapsed="false">
      <c r="A79" s="10" t="s">
        <v>17</v>
      </c>
      <c r="B79" s="3" t="n">
        <f aca="false">AVERAGE(B59:B77)</f>
        <v>8.85263157894737</v>
      </c>
      <c r="C79" s="3" t="n">
        <f aca="false">AVERAGE(C59:C77)</f>
        <v>10</v>
      </c>
      <c r="D79" s="3" t="n">
        <f aca="false">AVERAGE(D59:D77)</f>
        <v>91.5105263157895</v>
      </c>
      <c r="E79" s="3" t="n">
        <f aca="false">AVERAGE(E59:E77)</f>
        <v>130</v>
      </c>
      <c r="F79" s="3" t="n">
        <f aca="false">AVERAGE(F59:F77)</f>
        <v>8.85263157894737</v>
      </c>
    </row>
  </sheetData>
  <mergeCells count="26">
    <mergeCell ref="D3:G3"/>
    <mergeCell ref="A24:G24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A52:H52"/>
    <mergeCell ref="A54:Q54"/>
    <mergeCell ref="H61:J61"/>
    <mergeCell ref="H63:P6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2024-04-22T07:07:19Z</dcterms:created>
  <dc:creator>Анастасия</dc:creator>
  <dc:description/>
  <dc:language>ru-RU</dc:language>
  <cp:lastModifiedBy/>
  <dcterms:modified xsi:type="dcterms:W3CDTF">2024-06-27T11:52:59Z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