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5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-\отчёты\"/>
    </mc:Choice>
  </mc:AlternateContent>
  <xr:revisionPtr revIDLastSave="0" documentId="13_ncr:1_{837519EA-A847-45E0-BA41-D66DA432AE15}" xr6:coauthVersionLast="47" xr6:coauthVersionMax="47" xr10:uidLastSave="{00000000-0000-0000-0000-000000000000}"/>
  <bookViews>
    <workbookView xWindow="-108" yWindow="-108" windowWidth="23256" windowHeight="12576" activeTab="6" xr2:uid="{DDBB75D7-5BB1-4827-831A-631C8617B29B}"/>
  </bookViews>
  <sheets>
    <sheet name="лагранж1" sheetId="1" r:id="rId1"/>
    <sheet name="лагранж2" sheetId="2" r:id="rId2"/>
    <sheet name="лагранж3" sheetId="3" r:id="rId3"/>
    <sheet name="лагранж4" sheetId="4" r:id="rId4"/>
    <sheet name="ньютон1" sheetId="5" r:id="rId5"/>
    <sheet name="ньютон2" sheetId="6" r:id="rId6"/>
    <sheet name="стерлинг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7" l="1"/>
  <c r="B30" i="7"/>
  <c r="G27" i="7"/>
  <c r="G26" i="7"/>
  <c r="H26" i="7" s="1"/>
  <c r="G25" i="7"/>
  <c r="H25" i="7" s="1"/>
  <c r="G24" i="7"/>
  <c r="G23" i="7"/>
  <c r="H22" i="7" s="1"/>
  <c r="G22" i="7"/>
  <c r="B16" i="7"/>
  <c r="B40" i="6"/>
  <c r="E37" i="6"/>
  <c r="F36" i="6" s="1"/>
  <c r="E36" i="6"/>
  <c r="F35" i="6" s="1"/>
  <c r="E35" i="6"/>
  <c r="E34" i="6"/>
  <c r="F34" i="6" s="1"/>
  <c r="E33" i="6"/>
  <c r="F33" i="6" s="1"/>
  <c r="B20" i="6"/>
  <c r="B19" i="6"/>
  <c r="B21" i="6" s="1"/>
  <c r="F16" i="6"/>
  <c r="F15" i="6"/>
  <c r="G14" i="6" s="1"/>
  <c r="F14" i="6"/>
  <c r="F13" i="6"/>
  <c r="G13" i="6" s="1"/>
  <c r="F12" i="6"/>
  <c r="G11" i="6" s="1"/>
  <c r="F11" i="6"/>
  <c r="F10" i="6"/>
  <c r="G10" i="6" s="1"/>
  <c r="H9" i="6" s="1"/>
  <c r="G9" i="6"/>
  <c r="H8" i="6" s="1"/>
  <c r="F9" i="6"/>
  <c r="F8" i="6"/>
  <c r="G8" i="6" s="1"/>
  <c r="H7" i="6" s="1"/>
  <c r="F7" i="6"/>
  <c r="G7" i="6" s="1"/>
  <c r="C8" i="5"/>
  <c r="C7" i="5"/>
  <c r="C6" i="5"/>
  <c r="C5" i="5"/>
  <c r="C4" i="5"/>
  <c r="C3" i="5"/>
  <c r="C2" i="5"/>
  <c r="D6" i="4"/>
  <c r="D5" i="4"/>
  <c r="D4" i="4"/>
  <c r="C12" i="3"/>
  <c r="C13" i="3"/>
  <c r="D6" i="3"/>
  <c r="D5" i="3"/>
  <c r="D4" i="3"/>
  <c r="C23" i="1"/>
  <c r="E18" i="2"/>
  <c r="E17" i="2"/>
  <c r="E16" i="2"/>
  <c r="E15" i="2"/>
  <c r="E14" i="2"/>
  <c r="E13" i="2"/>
  <c r="F6" i="2"/>
  <c r="G6" i="2" s="1"/>
  <c r="M20" i="1"/>
  <c r="I20" i="1"/>
  <c r="H20" i="1"/>
  <c r="G20" i="1"/>
  <c r="F20" i="1"/>
  <c r="E20" i="1"/>
  <c r="D20" i="1"/>
  <c r="M19" i="1"/>
  <c r="I19" i="1"/>
  <c r="H19" i="1"/>
  <c r="G19" i="1"/>
  <c r="F19" i="1"/>
  <c r="E19" i="1"/>
  <c r="D19" i="1"/>
  <c r="M18" i="1"/>
  <c r="I18" i="1"/>
  <c r="H18" i="1"/>
  <c r="G18" i="1"/>
  <c r="F18" i="1"/>
  <c r="E18" i="1"/>
  <c r="D18" i="1"/>
  <c r="M17" i="1"/>
  <c r="I17" i="1"/>
  <c r="H17" i="1"/>
  <c r="G17" i="1"/>
  <c r="F17" i="1"/>
  <c r="E17" i="1"/>
  <c r="D17" i="1"/>
  <c r="M16" i="1"/>
  <c r="I16" i="1"/>
  <c r="H16" i="1"/>
  <c r="G16" i="1"/>
  <c r="F16" i="1"/>
  <c r="E16" i="1"/>
  <c r="D16" i="1"/>
  <c r="M15" i="1"/>
  <c r="I15" i="1"/>
  <c r="H15" i="1"/>
  <c r="G15" i="1"/>
  <c r="F15" i="1"/>
  <c r="E15" i="1"/>
  <c r="D15" i="1"/>
  <c r="I36" i="7" l="1"/>
  <c r="R11" i="7" s="1"/>
  <c r="I25" i="7"/>
  <c r="H23" i="7"/>
  <c r="I22" i="7" s="1"/>
  <c r="H24" i="7"/>
  <c r="H10" i="6"/>
  <c r="H13" i="6"/>
  <c r="G15" i="6"/>
  <c r="H14" i="6" s="1"/>
  <c r="G12" i="6"/>
  <c r="H11" i="6" s="1"/>
  <c r="B23" i="6" s="1"/>
  <c r="D7" i="5"/>
  <c r="D6" i="5"/>
  <c r="F16" i="5" s="1"/>
  <c r="D3" i="5"/>
  <c r="B16" i="5" s="1"/>
  <c r="D4" i="5"/>
  <c r="D2" i="5"/>
  <c r="B14" i="5" s="1"/>
  <c r="D5" i="5"/>
  <c r="F14" i="5" s="1"/>
  <c r="D17" i="2"/>
  <c r="F17" i="2" s="1"/>
  <c r="G17" i="2" s="1"/>
  <c r="D15" i="2"/>
  <c r="F15" i="2" s="1"/>
  <c r="G15" i="2" s="1"/>
  <c r="D13" i="2"/>
  <c r="D18" i="2"/>
  <c r="F18" i="2" s="1"/>
  <c r="G18" i="2" s="1"/>
  <c r="D16" i="2"/>
  <c r="F16" i="2" s="1"/>
  <c r="G16" i="2" s="1"/>
  <c r="D14" i="2"/>
  <c r="F14" i="2" s="1"/>
  <c r="G14" i="2" s="1"/>
  <c r="J17" i="1"/>
  <c r="K17" i="1" s="1"/>
  <c r="J18" i="1"/>
  <c r="K18" i="1" s="1"/>
  <c r="J20" i="1"/>
  <c r="K20" i="1" s="1"/>
  <c r="J15" i="1"/>
  <c r="K15" i="1" s="1"/>
  <c r="J16" i="1"/>
  <c r="K16" i="1" s="1"/>
  <c r="J19" i="1"/>
  <c r="K19" i="1" s="1"/>
  <c r="I23" i="7" l="1"/>
  <c r="J22" i="7" s="1"/>
  <c r="I24" i="7"/>
  <c r="H12" i="6"/>
  <c r="D22" i="2"/>
  <c r="F13" i="2"/>
  <c r="G13" i="2" s="1"/>
  <c r="D23" i="2" s="1"/>
  <c r="C24" i="1"/>
  <c r="C26" i="1" s="1"/>
  <c r="J23" i="7" l="1"/>
  <c r="K22" i="7" s="1"/>
  <c r="J24" i="7"/>
  <c r="D25" i="2"/>
  <c r="K23" i="7" l="1"/>
  <c r="L22" i="7" s="1"/>
</calcChain>
</file>

<file path=xl/sharedStrings.xml><?xml version="1.0" encoding="utf-8"?>
<sst xmlns="http://schemas.openxmlformats.org/spreadsheetml/2006/main" count="148" uniqueCount="88">
  <si>
    <t>Начальные данные:</t>
  </si>
  <si>
    <t>i</t>
  </si>
  <si>
    <t>x</t>
  </si>
  <si>
    <t>y</t>
  </si>
  <si>
    <t>Разности</t>
  </si>
  <si>
    <t>Di</t>
  </si>
  <si>
    <t>Yi/Di</t>
  </si>
  <si>
    <t>x - x_i</t>
  </si>
  <si>
    <t>Элементы главной диагонали</t>
  </si>
  <si>
    <t>П(5+1) =</t>
  </si>
  <si>
    <t>∑(Yi/Di) =</t>
  </si>
  <si>
    <t>f(0,263) ≈</t>
  </si>
  <si>
    <t>Начальные данные</t>
  </si>
  <si>
    <t>Столбец1</t>
  </si>
  <si>
    <t>Столбец2</t>
  </si>
  <si>
    <t>Столбец3</t>
  </si>
  <si>
    <t>Разности2</t>
  </si>
  <si>
    <t>Разности3</t>
  </si>
  <si>
    <t>Разности4</t>
  </si>
  <si>
    <t>Разности5</t>
  </si>
  <si>
    <t>Разности6</t>
  </si>
  <si>
    <t>Вычислить значение функции f(x) = y (x) при x =</t>
  </si>
  <si>
    <t>Таблица</t>
  </si>
  <si>
    <t>h</t>
  </si>
  <si>
    <t>t</t>
  </si>
  <si>
    <t>n</t>
  </si>
  <si>
    <t>Xi</t>
  </si>
  <si>
    <t>Yi</t>
  </si>
  <si>
    <t>t-i</t>
  </si>
  <si>
    <t>Ci</t>
  </si>
  <si>
    <t>(t-i)Ci</t>
  </si>
  <si>
    <t>Yi/((t-i)Ci)</t>
  </si>
  <si>
    <t>П(t) =</t>
  </si>
  <si>
    <t>∑(Yi/((t-i)Ci)) =</t>
  </si>
  <si>
    <t>Вычислить значение функции f(x)=y(x) при      x=</t>
  </si>
  <si>
    <t xml:space="preserve">f(x) </t>
  </si>
  <si>
    <t>P(1/4) ≈</t>
  </si>
  <si>
    <t>P(1/3) ≈</t>
  </si>
  <si>
    <t>по формуле получаем интерполяционный полином лагранжа:</t>
  </si>
  <si>
    <t>найти интерполяционный полином Лагранжа для функции f(x)=y(x)=sin(πx)</t>
  </si>
  <si>
    <t xml:space="preserve"> зная интерполяционный полином лагранжа, вычисляем значения функции для значений x = 1/4 и x=1/3</t>
  </si>
  <si>
    <t>используя формулу, получаем интерполяционный полином лагранжа</t>
  </si>
  <si>
    <t xml:space="preserve">           начальные данные</t>
  </si>
  <si>
    <t>найти интерполяционный полином лагранжа для функции f(x)=y(x)=x^2</t>
  </si>
  <si>
    <t>x_i</t>
  </si>
  <si>
    <t>y_i</t>
  </si>
  <si>
    <t>f(x0;x1)</t>
  </si>
  <si>
    <t>f(x0;x1;x2)</t>
  </si>
  <si>
    <t>-</t>
  </si>
  <si>
    <t>Найдем y(x) для x = 0,112</t>
  </si>
  <si>
    <t>Найдем y(x) для x = 0,133</t>
  </si>
  <si>
    <t>1) x0 = 0,103</t>
  </si>
  <si>
    <t>1) x0 = 0,120</t>
  </si>
  <si>
    <t>y(0,112) =</t>
  </si>
  <si>
    <t>y(0,133) =</t>
  </si>
  <si>
    <t>2) x0 = 0,108</t>
  </si>
  <si>
    <t>2) x0 = 0,128</t>
  </si>
  <si>
    <t>Окончательная решение:</t>
  </si>
  <si>
    <t>y(0,112)=2,04922</t>
  </si>
  <si>
    <t>y(0,133)=2,12386</t>
  </si>
  <si>
    <t>таблица значений</t>
  </si>
  <si>
    <t>Задача 1</t>
  </si>
  <si>
    <t>Найти: Ф(1,43)</t>
  </si>
  <si>
    <t>Вычисляемые значения:</t>
  </si>
  <si>
    <t>Δy</t>
  </si>
  <si>
    <t>Δ^2y</t>
  </si>
  <si>
    <t>Δ^3y</t>
  </si>
  <si>
    <t xml:space="preserve">x0 = </t>
  </si>
  <si>
    <t>h =</t>
  </si>
  <si>
    <t>a =</t>
  </si>
  <si>
    <t>y ≈</t>
  </si>
  <si>
    <t>Задача 2</t>
  </si>
  <si>
    <t>Построить империческую формулу распределения</t>
  </si>
  <si>
    <t>по формуле можем найти эмпирическую формулу</t>
  </si>
  <si>
    <r>
      <rPr>
        <sz val="14"/>
        <color rgb="FF000000"/>
        <rFont val="Angsana New"/>
        <family val="1"/>
      </rPr>
      <t>Вычислить значение функции в точке</t>
    </r>
    <r>
      <rPr>
        <sz val="18"/>
        <color rgb="FF000000"/>
        <rFont val="Angsana New"/>
        <family val="1"/>
      </rPr>
      <t xml:space="preserve"> 4,3</t>
    </r>
    <r>
      <rPr>
        <sz val="14"/>
        <color rgb="FF000000"/>
        <rFont val="Angsana New"/>
        <family val="1"/>
      </rPr>
      <t>, используя полином Стерлинга</t>
    </r>
  </si>
  <si>
    <t>Таблица разделенных разностей:</t>
  </si>
  <si>
    <t>Δ^4y</t>
  </si>
  <si>
    <t>Δ^5y</t>
  </si>
  <si>
    <t>Δ^6y</t>
  </si>
  <si>
    <t>u =</t>
  </si>
  <si>
    <t>y_0 =</t>
  </si>
  <si>
    <t>P(4,3) =</t>
  </si>
  <si>
    <t>Вычисления:</t>
  </si>
  <si>
    <t>Задача</t>
  </si>
  <si>
    <t xml:space="preserve"> </t>
  </si>
  <si>
    <t xml:space="preserve"> данные с индексами:</t>
  </si>
  <si>
    <t>Полином</t>
  </si>
  <si>
    <r>
      <rPr>
        <b/>
        <sz val="14"/>
        <color theme="1"/>
        <rFont val="Angsana New"/>
        <family val="1"/>
      </rPr>
      <t>Тогда</t>
    </r>
    <r>
      <rPr>
        <sz val="14"/>
        <color theme="1"/>
        <rFont val="Angsana New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</si>
</sst>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"/>
    <numFmt numFmtId="165" formatCode="0.0"/>
    <numFmt numFmtId="167" formatCode="0.000"/>
    <numFmt numFmtId="168" formatCode="0.00000"/>
  </numFmts>
  <fonts count="2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42424"/>
      <name val="Aptos Narrow"/>
      <charset val="1"/>
    </font>
    <font>
      <sz val="9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rgb="FF242424"/>
      <name val="Aptos Narrow"/>
      <charset val="1"/>
    </font>
    <font>
      <sz val="12"/>
      <color theme="1"/>
      <name val="Calibri"/>
      <family val="2"/>
      <scheme val="minor"/>
    </font>
    <font>
      <b/>
      <sz val="20"/>
      <color theme="1"/>
      <name val="Angsana New"/>
      <family val="1"/>
    </font>
    <font>
      <sz val="14"/>
      <color theme="1"/>
      <name val="Angsana New"/>
      <family val="1"/>
    </font>
    <font>
      <sz val="12"/>
      <color theme="1"/>
      <name val="Book Antiqua"/>
      <family val="1"/>
      <charset val="204"/>
    </font>
    <font>
      <sz val="11"/>
      <color theme="1"/>
      <name val="Book Antiqua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Book Antiqua"/>
      <family val="1"/>
      <charset val="204"/>
    </font>
    <font>
      <b/>
      <sz val="14"/>
      <color theme="1"/>
      <name val="Angsana New"/>
      <family val="1"/>
    </font>
    <font>
      <sz val="12"/>
      <color theme="1"/>
      <name val="Calibri"/>
      <family val="2"/>
      <charset val="204"/>
      <scheme val="minor"/>
    </font>
    <font>
      <sz val="14"/>
      <color rgb="FF000000"/>
      <name val="Angsana New"/>
      <family val="1"/>
    </font>
    <font>
      <sz val="18"/>
      <color rgb="FF000000"/>
      <name val="Angsana New"/>
      <family val="1"/>
    </font>
    <font>
      <sz val="12"/>
      <color theme="1"/>
      <name val="Angsana New"/>
      <family val="1"/>
    </font>
    <font>
      <sz val="18"/>
      <color theme="1"/>
      <name val="Angsana New"/>
      <family val="1"/>
    </font>
    <font>
      <sz val="12"/>
      <color rgb="FF333333"/>
      <name val="Angsana New"/>
      <family val="1"/>
    </font>
    <font>
      <sz val="18"/>
      <color theme="1"/>
      <name val="Calibri"/>
      <family val="2"/>
      <scheme val="minor"/>
    </font>
    <font>
      <sz val="20"/>
      <color theme="1"/>
      <name val="Angsana New"/>
      <family val="1"/>
    </font>
    <font>
      <sz val="36"/>
      <color theme="1"/>
      <name val="Angsana New"/>
      <family val="1"/>
    </font>
    <font>
      <sz val="11"/>
      <color rgb="FF000000"/>
      <name val="Angsana New"/>
      <family val="1"/>
    </font>
    <font>
      <sz val="14"/>
      <color theme="1"/>
      <name val="Calibri"/>
      <family val="2"/>
      <charset val="204"/>
      <scheme val="minor"/>
    </font>
    <font>
      <b/>
      <sz val="14"/>
      <color theme="1"/>
      <name val="Book Antiqua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/>
    <xf numFmtId="164" fontId="0" fillId="0" borderId="11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0" xfId="0" applyAlignment="1">
      <alignment horizontal="right"/>
    </xf>
    <xf numFmtId="0" fontId="3" fillId="0" borderId="0" xfId="0" applyFont="1" applyAlignme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2" fontId="0" fillId="0" borderId="4" xfId="0" applyNumberFormat="1" applyBorder="1"/>
    <xf numFmtId="165" fontId="0" fillId="0" borderId="1" xfId="0" applyNumberFormat="1" applyBorder="1"/>
    <xf numFmtId="12" fontId="0" fillId="0" borderId="7" xfId="0" applyNumberFormat="1" applyBorder="1"/>
    <xf numFmtId="0" fontId="0" fillId="3" borderId="8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" fontId="0" fillId="0" borderId="4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4" fillId="0" borderId="0" xfId="0" applyFont="1"/>
    <xf numFmtId="167" fontId="4" fillId="0" borderId="4" xfId="0" applyNumberFormat="1" applyFont="1" applyBorder="1"/>
    <xf numFmtId="0" fontId="4" fillId="0" borderId="4" xfId="0" applyFont="1" applyBorder="1"/>
    <xf numFmtId="0" fontId="2" fillId="0" borderId="0" xfId="0" applyFont="1"/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/>
    <xf numFmtId="168" fontId="4" fillId="0" borderId="10" xfId="0" applyNumberFormat="1" applyFont="1" applyBorder="1"/>
    <xf numFmtId="0" fontId="4" fillId="0" borderId="10" xfId="0" applyFont="1" applyBorder="1"/>
    <xf numFmtId="0" fontId="4" fillId="0" borderId="19" xfId="0" applyFont="1" applyBorder="1" applyAlignment="1">
      <alignment horizontal="center"/>
    </xf>
    <xf numFmtId="168" fontId="4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5" xfId="0" applyFont="1" applyBorder="1"/>
    <xf numFmtId="0" fontId="5" fillId="0" borderId="0" xfId="0" applyFont="1"/>
    <xf numFmtId="0" fontId="6" fillId="0" borderId="0" xfId="0" applyFont="1"/>
    <xf numFmtId="167" fontId="4" fillId="0" borderId="10" xfId="0" applyNumberFormat="1" applyFont="1" applyBorder="1"/>
    <xf numFmtId="0" fontId="4" fillId="0" borderId="1" xfId="0" applyFont="1" applyBorder="1" applyAlignment="1">
      <alignment horizontal="center"/>
    </xf>
    <xf numFmtId="167" fontId="4" fillId="0" borderId="6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4" xfId="0" applyFont="1" applyBorder="1"/>
    <xf numFmtId="0" fontId="9" fillId="0" borderId="4" xfId="0" applyFont="1" applyBorder="1" applyAlignment="1">
      <alignment horizontal="right"/>
    </xf>
    <xf numFmtId="0" fontId="9" fillId="0" borderId="13" xfId="0" applyFont="1" applyBorder="1"/>
    <xf numFmtId="165" fontId="9" fillId="0" borderId="4" xfId="0" applyNumberFormat="1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1" fillId="0" borderId="0" xfId="0" applyFont="1"/>
    <xf numFmtId="0" fontId="8" fillId="0" borderId="0" xfId="0" applyFont="1" applyBorder="1" applyAlignment="1">
      <alignment horizontal="center"/>
    </xf>
    <xf numFmtId="165" fontId="9" fillId="0" borderId="10" xfId="0" applyNumberFormat="1" applyFont="1" applyBorder="1"/>
    <xf numFmtId="0" fontId="9" fillId="0" borderId="10" xfId="0" applyFont="1" applyBorder="1"/>
    <xf numFmtId="0" fontId="9" fillId="0" borderId="1" xfId="0" applyFont="1" applyBorder="1"/>
    <xf numFmtId="0" fontId="9" fillId="0" borderId="6" xfId="0" applyFont="1" applyBorder="1"/>
    <xf numFmtId="0" fontId="9" fillId="0" borderId="8" xfId="0" applyFont="1" applyBorder="1"/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5" borderId="0" xfId="0" applyFont="1" applyFill="1" applyAlignment="1">
      <alignment horizontal="right"/>
    </xf>
    <xf numFmtId="0" fontId="9" fillId="5" borderId="0" xfId="0" applyFont="1" applyFill="1" applyAlignment="1">
      <alignment horizontal="left"/>
    </xf>
    <xf numFmtId="0" fontId="9" fillId="5" borderId="0" xfId="0" applyFont="1" applyFill="1"/>
    <xf numFmtId="0" fontId="9" fillId="6" borderId="0" xfId="0" applyFont="1" applyFill="1" applyAlignment="1">
      <alignment horizontal="right"/>
    </xf>
    <xf numFmtId="0" fontId="9" fillId="6" borderId="0" xfId="0" applyFont="1" applyFill="1" applyAlignment="1">
      <alignment horizontal="left"/>
    </xf>
    <xf numFmtId="0" fontId="12" fillId="0" borderId="0" xfId="0" applyFont="1"/>
    <xf numFmtId="0" fontId="13" fillId="0" borderId="0" xfId="0" applyFont="1" applyBorder="1" applyAlignment="1">
      <alignment horizontal="center"/>
    </xf>
    <xf numFmtId="0" fontId="14" fillId="0" borderId="0" xfId="0" applyFont="1"/>
    <xf numFmtId="0" fontId="17" fillId="0" borderId="0" xfId="0" applyFont="1"/>
    <xf numFmtId="0" fontId="19" fillId="0" borderId="0" xfId="0" applyFont="1" applyAlignment="1">
      <alignment vertical="top"/>
    </xf>
    <xf numFmtId="1" fontId="18" fillId="0" borderId="4" xfId="0" applyNumberFormat="1" applyFont="1" applyBorder="1"/>
    <xf numFmtId="0" fontId="18" fillId="0" borderId="4" xfId="0" applyFont="1" applyBorder="1"/>
    <xf numFmtId="1" fontId="18" fillId="0" borderId="7" xfId="0" applyNumberFormat="1" applyFont="1" applyBorder="1"/>
    <xf numFmtId="165" fontId="17" fillId="0" borderId="0" xfId="0" applyNumberFormat="1" applyFont="1"/>
    <xf numFmtId="0" fontId="18" fillId="2" borderId="1" xfId="0" applyFont="1" applyFill="1" applyBorder="1" applyAlignment="1">
      <alignment horizontal="right"/>
    </xf>
    <xf numFmtId="1" fontId="18" fillId="2" borderId="10" xfId="0" applyNumberFormat="1" applyFont="1" applyFill="1" applyBorder="1" applyAlignment="1">
      <alignment horizontal="left"/>
    </xf>
    <xf numFmtId="0" fontId="18" fillId="0" borderId="0" xfId="0" applyFont="1"/>
    <xf numFmtId="0" fontId="20" fillId="0" borderId="0" xfId="0" applyFont="1"/>
    <xf numFmtId="0" fontId="15" fillId="0" borderId="0" xfId="0" applyFont="1"/>
    <xf numFmtId="1" fontId="18" fillId="0" borderId="4" xfId="0" applyNumberFormat="1" applyFont="1" applyBorder="1" applyAlignment="1">
      <alignment horizontal="center"/>
    </xf>
    <xf numFmtId="0" fontId="18" fillId="0" borderId="8" xfId="0" applyFont="1" applyBorder="1"/>
    <xf numFmtId="0" fontId="18" fillId="0" borderId="12" xfId="0" applyFont="1" applyBorder="1"/>
    <xf numFmtId="0" fontId="20" fillId="0" borderId="12" xfId="0" applyFont="1" applyBorder="1"/>
    <xf numFmtId="0" fontId="21" fillId="0" borderId="4" xfId="0" applyFont="1" applyBorder="1"/>
    <xf numFmtId="0" fontId="18" fillId="0" borderId="13" xfId="0" applyFont="1" applyBorder="1"/>
    <xf numFmtId="0" fontId="21" fillId="0" borderId="4" xfId="0" applyFont="1" applyBorder="1" applyAlignment="1">
      <alignment horizontal="center"/>
    </xf>
    <xf numFmtId="0" fontId="21" fillId="0" borderId="7" xfId="0" applyFont="1" applyBorder="1"/>
    <xf numFmtId="0" fontId="21" fillId="0" borderId="10" xfId="0" applyFont="1" applyBorder="1" applyAlignment="1">
      <alignment horizontal="center"/>
    </xf>
    <xf numFmtId="0" fontId="18" fillId="0" borderId="9" xfId="0" applyFont="1" applyBorder="1"/>
    <xf numFmtId="0" fontId="18" fillId="0" borderId="15" xfId="0" applyFont="1" applyBorder="1"/>
    <xf numFmtId="0" fontId="20" fillId="0" borderId="15" xfId="0" applyFont="1" applyBorder="1"/>
    <xf numFmtId="0" fontId="18" fillId="0" borderId="4" xfId="0" applyFont="1" applyBorder="1" applyAlignment="1">
      <alignment horizontal="center" vertical="center"/>
    </xf>
    <xf numFmtId="0" fontId="8" fillId="0" borderId="4" xfId="0" applyFont="1" applyBorder="1"/>
    <xf numFmtId="0" fontId="23" fillId="0" borderId="0" xfId="0" applyFont="1"/>
    <xf numFmtId="0" fontId="7" fillId="0" borderId="0" xfId="0" applyFont="1"/>
    <xf numFmtId="0" fontId="24" fillId="0" borderId="0" xfId="0" applyFont="1"/>
    <xf numFmtId="1" fontId="18" fillId="0" borderId="10" xfId="0" applyNumberFormat="1" applyFont="1" applyBorder="1"/>
    <xf numFmtId="1" fontId="18" fillId="0" borderId="6" xfId="0" applyNumberFormat="1" applyFont="1" applyBorder="1"/>
    <xf numFmtId="0" fontId="18" fillId="0" borderId="1" xfId="0" applyFont="1" applyBorder="1"/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0" borderId="1" xfId="0" applyFont="1" applyBorder="1" applyAlignment="1">
      <alignment horizontal="center"/>
    </xf>
    <xf numFmtId="0" fontId="18" fillId="0" borderId="6" xfId="0" applyFont="1" applyBorder="1"/>
    <xf numFmtId="0" fontId="21" fillId="0" borderId="10" xfId="0" applyFont="1" applyBorder="1"/>
    <xf numFmtId="0" fontId="21" fillId="0" borderId="6" xfId="0" applyFont="1" applyBorder="1"/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8" fillId="0" borderId="0" xfId="0" applyFont="1"/>
    <xf numFmtId="0" fontId="18" fillId="4" borderId="8" xfId="0" applyFont="1" applyFill="1" applyBorder="1" applyAlignment="1">
      <alignment horizontal="right"/>
    </xf>
    <xf numFmtId="165" fontId="18" fillId="4" borderId="6" xfId="0" applyNumberFormat="1" applyFont="1" applyFill="1" applyBorder="1" applyAlignment="1">
      <alignment horizontal="left"/>
    </xf>
    <xf numFmtId="0" fontId="18" fillId="4" borderId="1" xfId="0" applyFont="1" applyFill="1" applyBorder="1" applyAlignment="1">
      <alignment horizontal="right"/>
    </xf>
    <xf numFmtId="0" fontId="18" fillId="4" borderId="10" xfId="0" applyFont="1" applyFill="1" applyBorder="1" applyAlignment="1">
      <alignment horizontal="left"/>
    </xf>
    <xf numFmtId="0" fontId="18" fillId="4" borderId="0" xfId="0" applyFont="1" applyFill="1" applyAlignment="1">
      <alignment horizontal="right"/>
    </xf>
    <xf numFmtId="0" fontId="18" fillId="4" borderId="0" xfId="0" applyFont="1" applyFill="1" applyAlignment="1">
      <alignment horizontal="left"/>
    </xf>
    <xf numFmtId="0" fontId="25" fillId="0" borderId="0" xfId="0" applyFont="1"/>
    <xf numFmtId="0" fontId="22" fillId="6" borderId="21" xfId="0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</cellXfs>
  <cellStyles count="1">
    <cellStyle name="Обычный" xfId="0" builtinId="0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ngsana New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ngsana New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ngsana New"/>
        <family val="1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Book Antiqua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1" formatCode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charset val="204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0.00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indexed="64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Без найденных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('[1]Ньютон,1'!$A$2:$A$9,'[1]Ньютон,1'!$B$2:$B$9)</c:f>
              <c:numCache>
                <c:formatCode>0.000</c:formatCode>
                <c:ptCount val="16"/>
                <c:pt idx="0">
                  <c:v>0.10299999999999999</c:v>
                </c:pt>
                <c:pt idx="1">
                  <c:v>0.108</c:v>
                </c:pt>
                <c:pt idx="2">
                  <c:v>0.115</c:v>
                </c:pt>
                <c:pt idx="3">
                  <c:v>0.12</c:v>
                </c:pt>
                <c:pt idx="4">
                  <c:v>0.128</c:v>
                </c:pt>
                <c:pt idx="5">
                  <c:v>0.13600000000000001</c:v>
                </c:pt>
                <c:pt idx="6">
                  <c:v>0.14099999999999999</c:v>
                </c:pt>
                <c:pt idx="7">
                  <c:v>0.15</c:v>
                </c:pt>
                <c:pt idx="8" formatCode="General">
                  <c:v>2.0128400000000002</c:v>
                </c:pt>
                <c:pt idx="9" formatCode="General">
                  <c:v>2.03342</c:v>
                </c:pt>
                <c:pt idx="10" formatCode="General">
                  <c:v>2.0607000000000002</c:v>
                </c:pt>
                <c:pt idx="11" formatCode="General">
                  <c:v>2.07918</c:v>
                </c:pt>
                <c:pt idx="12" formatCode="General">
                  <c:v>2.1072099999999998</c:v>
                </c:pt>
                <c:pt idx="13" formatCode="General">
                  <c:v>2.13354</c:v>
                </c:pt>
                <c:pt idx="14" formatCode="General">
                  <c:v>2.1492200000000001</c:v>
                </c:pt>
                <c:pt idx="15" formatCode="General">
                  <c:v>2.1760899999999999</c:v>
                </c:pt>
              </c:numCache>
            </c:numRef>
          </c:xVal>
          <c:yVal>
            <c:numRef>
              <c:f>'[1]Ньютон,1'!$B$2:$B$9</c:f>
              <c:numCache>
                <c:formatCode>General</c:formatCode>
                <c:ptCount val="8"/>
                <c:pt idx="0">
                  <c:v>2.0128400000000002</c:v>
                </c:pt>
                <c:pt idx="1">
                  <c:v>2.03342</c:v>
                </c:pt>
                <c:pt idx="2">
                  <c:v>2.0607000000000002</c:v>
                </c:pt>
                <c:pt idx="3">
                  <c:v>2.07918</c:v>
                </c:pt>
                <c:pt idx="4">
                  <c:v>2.1072099999999998</c:v>
                </c:pt>
                <c:pt idx="5">
                  <c:v>2.13354</c:v>
                </c:pt>
                <c:pt idx="6">
                  <c:v>2.1492200000000001</c:v>
                </c:pt>
                <c:pt idx="7">
                  <c:v>2.1760899999999999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61-495C-A433-33263B8C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058119"/>
        <c:axId val="385081351"/>
      </c:scatterChart>
      <c:valAx>
        <c:axId val="748058119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081351"/>
        <c:crosses val="autoZero"/>
        <c:crossBetween val="midCat"/>
      </c:valAx>
      <c:valAx>
        <c:axId val="385081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058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 найденными значениями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'[1]Ньютон,1'!$A$26:$A$35</c:f>
              <c:numCache>
                <c:formatCode>0.000</c:formatCode>
                <c:ptCount val="10"/>
                <c:pt idx="0">
                  <c:v>0.10299999999999999</c:v>
                </c:pt>
                <c:pt idx="1">
                  <c:v>0.108</c:v>
                </c:pt>
                <c:pt idx="2" formatCode="General">
                  <c:v>0.112</c:v>
                </c:pt>
                <c:pt idx="3">
                  <c:v>0.115</c:v>
                </c:pt>
                <c:pt idx="4">
                  <c:v>0.12</c:v>
                </c:pt>
                <c:pt idx="5">
                  <c:v>0.128</c:v>
                </c:pt>
                <c:pt idx="6" formatCode="General">
                  <c:v>0.13300000000000001</c:v>
                </c:pt>
                <c:pt idx="7">
                  <c:v>0.13600000000000001</c:v>
                </c:pt>
                <c:pt idx="8">
                  <c:v>0.14099999999999999</c:v>
                </c:pt>
                <c:pt idx="9">
                  <c:v>0.15</c:v>
                </c:pt>
              </c:numCache>
            </c:numRef>
          </c:xVal>
          <c:yVal>
            <c:numRef>
              <c:f>'[1]Ньютон,1'!$B$26:$B$35</c:f>
              <c:numCache>
                <c:formatCode>General</c:formatCode>
                <c:ptCount val="10"/>
                <c:pt idx="0">
                  <c:v>2.0128400000000002</c:v>
                </c:pt>
                <c:pt idx="1">
                  <c:v>2.03342</c:v>
                </c:pt>
                <c:pt idx="2">
                  <c:v>2.04922</c:v>
                </c:pt>
                <c:pt idx="3">
                  <c:v>2.0607000000000002</c:v>
                </c:pt>
                <c:pt idx="4">
                  <c:v>2.07918</c:v>
                </c:pt>
                <c:pt idx="5">
                  <c:v>2.1072099999999998</c:v>
                </c:pt>
                <c:pt idx="6">
                  <c:v>2.1238600000000001</c:v>
                </c:pt>
                <c:pt idx="7">
                  <c:v>2.13354</c:v>
                </c:pt>
                <c:pt idx="8">
                  <c:v>2.1492200000000001</c:v>
                </c:pt>
                <c:pt idx="9">
                  <c:v>2.1760899999999999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55-4B40-A1D0-7F19AC3CF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106183"/>
        <c:axId val="349108743"/>
      </c:scatterChart>
      <c:valAx>
        <c:axId val="349106183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108743"/>
        <c:crosses val="autoZero"/>
        <c:crossBetween val="midCat"/>
      </c:valAx>
      <c:valAx>
        <c:axId val="349108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106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без искомого значения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[1]Стерлинг!$A$7:$A$14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[1]Стерлинг!$B$7:$B$14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50-40E8-BF08-79C4AB977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52327"/>
        <c:axId val="304954375"/>
      </c:scatterChart>
      <c:valAx>
        <c:axId val="30495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4954375"/>
        <c:crosses val="autoZero"/>
        <c:crossBetween val="midCat"/>
      </c:valAx>
      <c:valAx>
        <c:axId val="304954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4952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с искомым значением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[1]Стерлинг!$S$6:$S$14</c:f>
              <c:numCache>
                <c:formatCode>0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 formatCode="General">
                  <c:v>4.3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[1]Стерлинг!$T$6:$T$14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16.602504674999999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5C-4FA7-B76B-F7B4540AD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432"/>
        <c:axId val="809480"/>
      </c:scatterChart>
      <c:valAx>
        <c:axId val="80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80"/>
        <c:crosses val="autoZero"/>
        <c:crossBetween val="midCat"/>
      </c:valAx>
      <c:valAx>
        <c:axId val="80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7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chart" Target="../charts/chart3.xml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106680</xdr:colOff>
      <xdr:row>1</xdr:row>
      <xdr:rowOff>68580</xdr:rowOff>
    </xdr:from>
    <xdr:to>
      <xdr:col>18</xdr:col>
      <xdr:colOff>462915</xdr:colOff>
      <xdr:row>15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E949BF6-7843-4E39-99D4-9B150AA80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2560" y="251460"/>
          <a:ext cx="6452235" cy="2520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1</xdr:row>
      <xdr:rowOff>45720</xdr:rowOff>
    </xdr:from>
    <xdr:to>
      <xdr:col>17</xdr:col>
      <xdr:colOff>106680</xdr:colOff>
      <xdr:row>9</xdr:row>
      <xdr:rowOff>99060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463DC38-78B2-4A1F-8321-5927CF935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228600"/>
          <a:ext cx="5478780" cy="1516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0</xdr:rowOff>
    </xdr:from>
    <xdr:to>
      <xdr:col>18</xdr:col>
      <xdr:colOff>476250</xdr:colOff>
      <xdr:row>17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B3274A-C79E-48AE-92EF-9981B9CF7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116205</xdr:colOff>
      <xdr:row>17</xdr:row>
      <xdr:rowOff>161925</xdr:rowOff>
    </xdr:from>
    <xdr:to>
      <xdr:col>18</xdr:col>
      <xdr:colOff>398145</xdr:colOff>
      <xdr:row>34</xdr:row>
      <xdr:rowOff>78105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9739B2-79DA-4BB8-AD5B-D4FB32158CDA}"/>
            </a:ext>
            <a:ext uri="{147F2762-F138-4A5C-976F-8EAC2B608ADB}">
              <a16:predDERef xmlns:a16="http://schemas.microsoft.com/office/drawing/2014/main" pred="{A3AF7AB7-FED1-4460-A40B-D4A621B6C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152400</xdr:colOff>
      <xdr:row>39</xdr:row>
      <xdr:rowOff>13335</xdr:rowOff>
    </xdr:from>
    <xdr:ext cx="4998720" cy="1341120"/>
    <xdr:pic>
      <xdr:nvPicPr>
        <xdr:cNvPr id="15" name="Рисунок 14">
          <a:extLst>
            <a:ext uri="{FF2B5EF4-FFF2-40B4-BE49-F238E27FC236}">
              <a16:creationId xmlns:a16="http://schemas.microsoft.com/office/drawing/2014/main" id="{15450279-BC2A-4E80-A530-81861C59946B}"/>
            </a:ext>
            <a:ext uri="{147F2762-F138-4A5C-976F-8EAC2B608ADB}">
              <a16:predDERef xmlns:a16="http://schemas.microsoft.com/office/drawing/2014/main" pred="{C731C2C4-67E5-B13D-B05E-3DA5006D5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7770495"/>
          <a:ext cx="4998720" cy="1341120"/>
        </a:xfrm>
        <a:prstGeom prst="rect">
          <a:avLst/>
        </a:prstGeom>
      </xdr:spPr>
    </xdr:pic>
    <xdr:clientData/>
  </xdr:oneCellAnchor>
  <xdr:oneCellAnchor>
    <xdr:from>
      <xdr:col>8</xdr:col>
      <xdr:colOff>177165</xdr:colOff>
      <xdr:row>31</xdr:row>
      <xdr:rowOff>68580</xdr:rowOff>
    </xdr:from>
    <xdr:ext cx="4425315" cy="1424940"/>
    <xdr:pic>
      <xdr:nvPicPr>
        <xdr:cNvPr id="16" name="Рисунок 15">
          <a:extLst>
            <a:ext uri="{FF2B5EF4-FFF2-40B4-BE49-F238E27FC236}">
              <a16:creationId xmlns:a16="http://schemas.microsoft.com/office/drawing/2014/main" id="{879CDD0D-6D19-4A46-B694-8EC30077C5AF}"/>
            </a:ext>
            <a:ext uri="{147F2762-F138-4A5C-976F-8EAC2B608ADB}">
              <a16:predDERef xmlns:a16="http://schemas.microsoft.com/office/drawing/2014/main" pred="{6B665DA8-1889-78B6-B1D7-635405A3E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9865" y="6240780"/>
          <a:ext cx="4425315" cy="14249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222885</xdr:colOff>
      <xdr:row>4</xdr:row>
      <xdr:rowOff>184785</xdr:rowOff>
    </xdr:from>
    <xdr:to>
      <xdr:col>8</xdr:col>
      <xdr:colOff>508635</xdr:colOff>
      <xdr:row>16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3E7104-B176-4B85-B16B-C5613E4A6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42</xdr:row>
      <xdr:rowOff>19050</xdr:rowOff>
    </xdr:from>
    <xdr:to>
      <xdr:col>7</xdr:col>
      <xdr:colOff>215265</xdr:colOff>
      <xdr:row>49</xdr:row>
      <xdr:rowOff>41910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E7EAFA3-BC99-4C04-8D6C-9C87C9BA0C44}"/>
            </a:ext>
            <a:ext uri="{147F2762-F138-4A5C-976F-8EAC2B608ADB}">
              <a16:predDERef xmlns:a16="http://schemas.microsoft.com/office/drawing/2014/main" pred="{A38288CA-14C2-A397-03A9-C2946714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9841230"/>
          <a:ext cx="5040630" cy="1950720"/>
        </a:xfrm>
        <a:prstGeom prst="rect">
          <a:avLst/>
        </a:prstGeom>
      </xdr:spPr>
    </xdr:pic>
    <xdr:clientData/>
  </xdr:twoCellAnchor>
  <xdr:twoCellAnchor editAs="oneCell">
    <xdr:from>
      <xdr:col>7</xdr:col>
      <xdr:colOff>386715</xdr:colOff>
      <xdr:row>42</xdr:row>
      <xdr:rowOff>114300</xdr:rowOff>
    </xdr:from>
    <xdr:to>
      <xdr:col>19</xdr:col>
      <xdr:colOff>419100</xdr:colOff>
      <xdr:row>48</xdr:row>
      <xdr:rowOff>268605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B6AD4BE-8E89-4892-BAE0-E90000F99054}"/>
            </a:ext>
            <a:ext uri="{147F2762-F138-4A5C-976F-8EAC2B608ADB}">
              <a16:predDERef xmlns:a16="http://schemas.microsoft.com/office/drawing/2014/main" pred="{2237EBEA-EFF7-01F6-4714-F40E4E248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0655" y="9860280"/>
          <a:ext cx="7492365" cy="175450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20</xdr:row>
      <xdr:rowOff>19050</xdr:rowOff>
    </xdr:from>
    <xdr:to>
      <xdr:col>16</xdr:col>
      <xdr:colOff>293370</xdr:colOff>
      <xdr:row>21</xdr:row>
      <xdr:rowOff>228600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7166853-5FDA-41E3-ADF4-C05C53CF4953}"/>
            </a:ext>
            <a:ext uri="{147F2762-F138-4A5C-976F-8EAC2B608ADB}">
              <a16:predDERef xmlns:a16="http://schemas.microsoft.com/office/drawing/2014/main" pred="{E14A19A2-6111-E4B0-2452-3BFB6D404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5530" y="4636770"/>
          <a:ext cx="1493520" cy="4457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22</xdr:row>
      <xdr:rowOff>0</xdr:rowOff>
    </xdr:from>
    <xdr:to>
      <xdr:col>20</xdr:col>
      <xdr:colOff>266700</xdr:colOff>
      <xdr:row>24</xdr:row>
      <xdr:rowOff>85725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8E82E65-01A0-422D-9DF0-D18F46866E88}"/>
            </a:ext>
            <a:ext uri="{147F2762-F138-4A5C-976F-8EAC2B608ADB}">
              <a16:predDERef xmlns:a16="http://schemas.microsoft.com/office/drawing/2014/main" pred="{CE8098A4-67B4-DBC2-776B-3EAEA8C94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55530" y="5128260"/>
          <a:ext cx="3905250" cy="550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25</xdr:row>
      <xdr:rowOff>0</xdr:rowOff>
    </xdr:from>
    <xdr:to>
      <xdr:col>22</xdr:col>
      <xdr:colOff>140970</xdr:colOff>
      <xdr:row>26</xdr:row>
      <xdr:rowOff>219075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B1626B6-B8F4-40EC-A1B3-2259AE49EDE1}"/>
            </a:ext>
            <a:ext uri="{147F2762-F138-4A5C-976F-8EAC2B608ADB}">
              <a16:predDERef xmlns:a16="http://schemas.microsoft.com/office/drawing/2014/main" pred="{A4B90317-B286-9511-6DB9-AE9B26EF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55530" y="5844540"/>
          <a:ext cx="4998720" cy="424815"/>
        </a:xfrm>
        <a:prstGeom prst="rect">
          <a:avLst/>
        </a:prstGeom>
      </xdr:spPr>
    </xdr:pic>
    <xdr:clientData/>
  </xdr:twoCellAnchor>
  <xdr:twoCellAnchor editAs="oneCell">
    <xdr:from>
      <xdr:col>2</xdr:col>
      <xdr:colOff>220980</xdr:colOff>
      <xdr:row>49</xdr:row>
      <xdr:rowOff>57150</xdr:rowOff>
    </xdr:from>
    <xdr:to>
      <xdr:col>12</xdr:col>
      <xdr:colOff>565785</xdr:colOff>
      <xdr:row>57</xdr:row>
      <xdr:rowOff>49530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CFDB7AE-7EA3-49A5-9E18-4303EB46D155}"/>
            </a:ext>
            <a:ext uri="{147F2762-F138-4A5C-976F-8EAC2B608ADB}">
              <a16:predDERef xmlns:a16="http://schemas.microsoft.com/office/drawing/2014/main" pred="{0C6A319E-3AB4-C837-EBA9-57C31A623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26920" y="11730990"/>
          <a:ext cx="6585585" cy="2004060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28</xdr:row>
      <xdr:rowOff>213360</xdr:rowOff>
    </xdr:from>
    <xdr:to>
      <xdr:col>21</xdr:col>
      <xdr:colOff>85725</xdr:colOff>
      <xdr:row>31</xdr:row>
      <xdr:rowOff>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08209DA-3051-4037-814E-796E544D3A46}"/>
            </a:ext>
            <a:ext uri="{147F2762-F138-4A5C-976F-8EAC2B608ADB}">
              <a16:predDERef xmlns:a16="http://schemas.microsoft.com/office/drawing/2014/main" pred="{FE1CAE81-1D5A-1BC3-86D5-B1BE0EE7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99560" y="6675120"/>
          <a:ext cx="9519285" cy="495300"/>
        </a:xfrm>
        <a:prstGeom prst="rect">
          <a:avLst/>
        </a:prstGeom>
      </xdr:spPr>
    </xdr:pic>
    <xdr:clientData/>
  </xdr:twoCellAnchor>
  <xdr:twoCellAnchor>
    <xdr:from>
      <xdr:col>8</xdr:col>
      <xdr:colOff>518160</xdr:colOff>
      <xdr:row>4</xdr:row>
      <xdr:rowOff>177165</xdr:rowOff>
    </xdr:from>
    <xdr:to>
      <xdr:col>15</xdr:col>
      <xdr:colOff>401955</xdr:colOff>
      <xdr:row>16</xdr:row>
      <xdr:rowOff>19050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2E7542DF-B7CB-4DD8-94F6-755DD3202FE5}"/>
            </a:ext>
            <a:ext uri="{147F2762-F138-4A5C-976F-8EAC2B608ADB}">
              <a16:predDERef xmlns:a16="http://schemas.microsoft.com/office/drawing/2014/main" pred="{7B97958D-31AD-C7E1-8A6E-5A33BBFDF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-/&#1053;&#1086;&#1074;&#1072;&#1103;%20&#1087;&#1072;&#1087;&#1082;&#1072;/&#1080;&#1085;&#1090;&#1077;&#1088;&#1087;&#1086;&#1083;&#1080;&#1088;&#1086;&#1074;&#1072;&#1085;&#1080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агранж, 1"/>
      <sheetName val="Лагранж, 2"/>
      <sheetName val="Лагранж,3"/>
      <sheetName val="Лагранж,4"/>
      <sheetName val="Ньютон,1"/>
      <sheetName val="Ньютон,2"/>
      <sheetName val="Стерлинг"/>
    </sheetNames>
    <sheetDataSet>
      <sheetData sheetId="0"/>
      <sheetData sheetId="1"/>
      <sheetData sheetId="2"/>
      <sheetData sheetId="3"/>
      <sheetData sheetId="4">
        <row r="2">
          <cell r="A2">
            <v>0.10299999999999999</v>
          </cell>
          <cell r="B2">
            <v>2.0128400000000002</v>
          </cell>
        </row>
        <row r="3">
          <cell r="A3">
            <v>0.108</v>
          </cell>
          <cell r="B3">
            <v>2.03342</v>
          </cell>
        </row>
        <row r="4">
          <cell r="A4">
            <v>0.115</v>
          </cell>
          <cell r="B4">
            <v>2.0607000000000002</v>
          </cell>
        </row>
        <row r="5">
          <cell r="A5">
            <v>0.12</v>
          </cell>
          <cell r="B5">
            <v>2.07918</v>
          </cell>
        </row>
        <row r="6">
          <cell r="A6">
            <v>0.128</v>
          </cell>
          <cell r="B6">
            <v>2.1072099999999998</v>
          </cell>
        </row>
        <row r="7">
          <cell r="A7">
            <v>0.13600000000000001</v>
          </cell>
          <cell r="B7">
            <v>2.13354</v>
          </cell>
        </row>
        <row r="8">
          <cell r="A8">
            <v>0.14099999999999999</v>
          </cell>
          <cell r="B8">
            <v>2.1492200000000001</v>
          </cell>
        </row>
        <row r="9">
          <cell r="A9">
            <v>0.15</v>
          </cell>
          <cell r="B9">
            <v>2.1760899999999999</v>
          </cell>
        </row>
        <row r="26">
          <cell r="A26">
            <v>0.10299999999999999</v>
          </cell>
          <cell r="B26">
            <v>2.0128400000000002</v>
          </cell>
        </row>
        <row r="27">
          <cell r="A27">
            <v>0.108</v>
          </cell>
          <cell r="B27">
            <v>2.03342</v>
          </cell>
        </row>
        <row r="28">
          <cell r="A28">
            <v>0.112</v>
          </cell>
          <cell r="B28">
            <v>2.04922</v>
          </cell>
        </row>
        <row r="29">
          <cell r="A29">
            <v>0.115</v>
          </cell>
          <cell r="B29">
            <v>2.0607000000000002</v>
          </cell>
        </row>
        <row r="30">
          <cell r="A30">
            <v>0.12</v>
          </cell>
          <cell r="B30">
            <v>2.07918</v>
          </cell>
        </row>
        <row r="31">
          <cell r="A31">
            <v>0.128</v>
          </cell>
          <cell r="B31">
            <v>2.1072099999999998</v>
          </cell>
        </row>
        <row r="32">
          <cell r="A32">
            <v>0.13300000000000001</v>
          </cell>
          <cell r="B32">
            <v>2.1238600000000001</v>
          </cell>
        </row>
        <row r="33">
          <cell r="A33">
            <v>0.13600000000000001</v>
          </cell>
          <cell r="B33">
            <v>2.13354</v>
          </cell>
        </row>
        <row r="34">
          <cell r="A34">
            <v>0.14099999999999999</v>
          </cell>
          <cell r="B34">
            <v>2.1492200000000001</v>
          </cell>
        </row>
        <row r="35">
          <cell r="A35">
            <v>0.15</v>
          </cell>
          <cell r="B35">
            <v>2.1760899999999999</v>
          </cell>
        </row>
      </sheetData>
      <sheetData sheetId="5"/>
      <sheetData sheetId="6">
        <row r="6">
          <cell r="S6">
            <v>0</v>
          </cell>
          <cell r="T6">
            <v>0</v>
          </cell>
        </row>
        <row r="7">
          <cell r="A7">
            <v>0</v>
          </cell>
          <cell r="B7">
            <v>0</v>
          </cell>
          <cell r="S7">
            <v>1</v>
          </cell>
          <cell r="T7">
            <v>2</v>
          </cell>
        </row>
        <row r="8">
          <cell r="A8">
            <v>1</v>
          </cell>
          <cell r="B8">
            <v>2</v>
          </cell>
          <cell r="S8">
            <v>2</v>
          </cell>
          <cell r="T8">
            <v>5</v>
          </cell>
        </row>
        <row r="9">
          <cell r="A9">
            <v>2</v>
          </cell>
          <cell r="B9">
            <v>5</v>
          </cell>
          <cell r="S9">
            <v>3</v>
          </cell>
          <cell r="T9">
            <v>10</v>
          </cell>
        </row>
        <row r="10">
          <cell r="A10">
            <v>3</v>
          </cell>
          <cell r="B10">
            <v>10</v>
          </cell>
          <cell r="S10">
            <v>4</v>
          </cell>
          <cell r="T10">
            <v>15</v>
          </cell>
        </row>
        <row r="11">
          <cell r="A11">
            <v>4</v>
          </cell>
          <cell r="B11">
            <v>15</v>
          </cell>
          <cell r="S11">
            <v>4.3</v>
          </cell>
          <cell r="T11">
            <v>16.602504674999999</v>
          </cell>
        </row>
        <row r="12">
          <cell r="A12">
            <v>5</v>
          </cell>
          <cell r="B12">
            <v>20</v>
          </cell>
          <cell r="S12">
            <v>5</v>
          </cell>
          <cell r="T12">
            <v>20</v>
          </cell>
        </row>
        <row r="13">
          <cell r="A13">
            <v>6</v>
          </cell>
          <cell r="B13">
            <v>22</v>
          </cell>
          <cell r="S13">
            <v>6</v>
          </cell>
          <cell r="T13">
            <v>22</v>
          </cell>
        </row>
        <row r="14">
          <cell r="A14">
            <v>7</v>
          </cell>
          <cell r="B14">
            <v>24</v>
          </cell>
          <cell r="S14">
            <v>7</v>
          </cell>
          <cell r="T14">
            <v>24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C4989-8AE6-4083-A647-1436CBD543CF}" name="Таблица1" displayName="Таблица1" ref="B3:D9" totalsRowShown="0">
  <autoFilter ref="B3:D9" xr:uid="{146C4989-8AE6-4083-A647-1436CBD543CF}"/>
  <tableColumns count="3">
    <tableColumn id="1" xr3:uid="{955ABEC3-CE27-4159-B93B-28E1FB6FD66D}" name="i"/>
    <tableColumn id="2" xr3:uid="{436890B0-A154-4867-8055-6E5591DA768E}" name="x"/>
    <tableColumn id="3" xr3:uid="{076412D3-F830-467D-B8F5-63395BD85C3A}" name="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367716-E2B0-4081-BBA8-3E2D40B4EDAC}" name="Таблица9" displayName="Таблица9" ref="A14:K20" totalsRowShown="0">
  <autoFilter ref="A14:K20" xr:uid="{FB367716-E2B0-4081-BBA8-3E2D40B4EDAC}"/>
  <tableColumns count="11">
    <tableColumn id="1" xr3:uid="{614174B2-F00C-4849-9403-1DD42AC3A80D}" name="i"/>
    <tableColumn id="2" xr3:uid="{669640DD-4DBA-47DF-87FF-97FE6824B25C}" name="x"/>
    <tableColumn id="3" xr3:uid="{FF520A67-F78D-4A25-926B-56ECC11B932B}" name="y"/>
    <tableColumn id="4" xr3:uid="{6BB2B891-2DCD-4C69-B862-70EF7EA95808}" name="Разности">
      <calculatedColumnFormula>C4-$C$4</calculatedColumnFormula>
    </tableColumn>
    <tableColumn id="5" xr3:uid="{2FE9FD54-85EB-401C-893F-02D3672B6509}" name="Разности2">
      <calculatedColumnFormula>C4-$C$5</calculatedColumnFormula>
    </tableColumn>
    <tableColumn id="6" xr3:uid="{C94774AC-3787-4314-870C-CEEC8F5C4D2B}" name="Разности3"/>
    <tableColumn id="7" xr3:uid="{6FA1C6CC-6B71-46DF-92AB-AE6C3DA9A572}" name="Разности4">
      <calculatedColumnFormula>C4-$C$7</calculatedColumnFormula>
    </tableColumn>
    <tableColumn id="8" xr3:uid="{2AE23365-F955-4BB3-B345-8D177F074C39}" name="Разности5">
      <calculatedColumnFormula>C4-$C$8</calculatedColumnFormula>
    </tableColumn>
    <tableColumn id="9" xr3:uid="{3909DEA3-6E59-492C-B570-1239FCF8F174}" name="Разности6"/>
    <tableColumn id="10" xr3:uid="{80809362-6B8C-4A97-8040-A8BE74C32BA4}" name="Di">
      <calculatedColumnFormula>PRODUCT(D15:I15)</calculatedColumnFormula>
    </tableColumn>
    <tableColumn id="11" xr3:uid="{72121CD8-9669-48F3-A08C-AB75540DE5FD}" name="Yi/Di">
      <calculatedColumnFormula>C15/J15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5AE4A3-05A7-4552-BF5E-E73161789F6F}" name="Таблица10" displayName="Таблица10" ref="M14:M20" totalsRowShown="0">
  <autoFilter ref="M14:M20" xr:uid="{415AE4A3-05A7-4552-BF5E-E73161789F6F}"/>
  <tableColumns count="1">
    <tableColumn id="1" xr3:uid="{B4EF318D-4D85-4A26-9750-F662699C1E3D}" name="x - x_i">
      <calculatedColumnFormula>0.263-B15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82C27F-0129-4DFB-9F5F-2BDA7B3EB7A6}" name="Таблица11" displayName="Таблица11" ref="B3:D9" totalsRowShown="0" headerRowDxfId="72" headerRowBorderDxfId="77" tableBorderDxfId="78" totalsRowBorderDxfId="76">
  <autoFilter ref="B3:D9" xr:uid="{AE82C27F-0129-4DFB-9F5F-2BDA7B3EB7A6}"/>
  <tableColumns count="3">
    <tableColumn id="1" xr3:uid="{21E6E336-B40A-4B8B-A6CB-2FF91F1ABEBB}" name="i" dataDxfId="75"/>
    <tableColumn id="2" xr3:uid="{C3B87B79-DE80-498D-90F2-3791D3515DEA}" name="x" dataDxfId="74"/>
    <tableColumn id="3" xr3:uid="{546890B8-DC35-4DFC-902A-9639E677B1CD}" name="y" dataDxfId="7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E246BF-065A-4A08-AEA3-3215B0EE41AB}" name="Таблица12" displayName="Таблица12" ref="F5:H6" totalsRowShown="0" headerRowDxfId="65" headerRowBorderDxfId="70" tableBorderDxfId="71" totalsRowBorderDxfId="69">
  <autoFilter ref="F5:H6" xr:uid="{44E246BF-065A-4A08-AEA3-3215B0EE41AB}"/>
  <tableColumns count="3">
    <tableColumn id="1" xr3:uid="{53E8DA8D-EE43-40FA-B399-79B6DFB4827D}" name="h" dataDxfId="68">
      <calculatedColumnFormula>(C5-C4)</calculatedColumnFormula>
    </tableColumn>
    <tableColumn id="2" xr3:uid="{B0C19D05-1145-4CB5-8062-DF6570B3BE25}" name="t" dataDxfId="67">
      <calculatedColumnFormula>(F1-C4)/F6</calculatedColumnFormula>
    </tableColumn>
    <tableColumn id="3" xr3:uid="{DAFF7A07-CEB1-4748-AE39-E3998C8224BB}" name="n" dataDxfId="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396363-CCDC-4157-A305-549DE37DF6F2}" name="Таблица13" displayName="Таблица13" ref="A12:G18" totalsRowShown="0" tableBorderDxfId="64">
  <autoFilter ref="A12:G18" xr:uid="{F8396363-CCDC-4157-A305-549DE37DF6F2}"/>
  <tableColumns count="7">
    <tableColumn id="1" xr3:uid="{23375355-E737-4460-B8BC-BE88DB8FC636}" name="i" dataDxfId="63"/>
    <tableColumn id="2" xr3:uid="{87C694D6-9924-4A8D-9626-83B7EBB4723A}" name="Xi" dataDxfId="62"/>
    <tableColumn id="3" xr3:uid="{DA5132B5-16FF-4E93-B7D3-B91A555D98D7}" name="Yi" dataDxfId="61"/>
    <tableColumn id="4" xr3:uid="{DB9A7B85-882F-47A0-AD3D-009227C46E95}" name="t-i" dataDxfId="60">
      <calculatedColumnFormula>$G$6-A13</calculatedColumnFormula>
    </tableColumn>
    <tableColumn id="5" xr3:uid="{E4962779-6355-49F7-9F62-C31B181713D7}" name="Ci" dataDxfId="59">
      <calculatedColumnFormula>POWER(-1,($H$6-A13))*FACT(A13)*FACT($H$6-A13)</calculatedColumnFormula>
    </tableColumn>
    <tableColumn id="6" xr3:uid="{70394D23-3CA3-4D8C-9F0B-8E4130513F9B}" name="(t-i)Ci" dataDxfId="58">
      <calculatedColumnFormula>D13*E13</calculatedColumnFormula>
    </tableColumn>
    <tableColumn id="7" xr3:uid="{08FC6549-54F6-4158-ADBA-B4F48C18FECB}" name="Yi/((t-i)Ci)" dataDxfId="57">
      <calculatedColumnFormula>C13/F13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8E96DA-E76F-4766-BE7B-0A7E0DD987D8}" name="Таблица14" displayName="Таблица14" ref="B21:D25" totalsRowShown="0">
  <autoFilter ref="B21:D25" xr:uid="{9D8E96DA-E76F-4766-BE7B-0A7E0DD987D8}"/>
  <tableColumns count="3">
    <tableColumn id="1" xr3:uid="{7BD61371-A6E9-4E51-B180-A129155E2B13}" name="Столбец1"/>
    <tableColumn id="2" xr3:uid="{CCAE369C-719B-47D9-A449-B1FC698FA157}" name="Столбец2"/>
    <tableColumn id="3" xr3:uid="{4D753043-6E87-4CD0-8B4D-FEB91A25F0C9}" name="Столбец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96EC88-4AEA-446E-BF0B-2F140BCE8681}" name="Таблица16" displayName="Таблица16" ref="B3:D6" totalsRowShown="0" headerRowDxfId="54" tableBorderDxfId="56">
  <autoFilter ref="B3:D6" xr:uid="{DC96EC88-4AEA-446E-BF0B-2F140BCE8681}"/>
  <tableColumns count="3">
    <tableColumn id="1" xr3:uid="{14AB7089-136B-488E-9265-5120C4CE9C88}" name="i" dataDxfId="55"/>
    <tableColumn id="2" xr3:uid="{05A09E52-6EF0-4B0D-8E11-57506D76CF57}" name="x"/>
    <tableColumn id="3" xr3:uid="{2635529F-6B8D-479A-BCD2-AFE2407FF4DB}" name="y">
      <calculatedColumnFormula>SIN(3.1415*C4)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1185EC-1C96-48F8-AE94-4042065C2DFE}" name="Таблица18" displayName="Таблица18" ref="B3:D6" totalsRowShown="0" headerRowDxfId="49" tableBorderDxfId="53">
  <autoFilter ref="B3:D6" xr:uid="{161185EC-1C96-48F8-AE94-4042065C2DFE}"/>
  <tableColumns count="3">
    <tableColumn id="1" xr3:uid="{1961FA44-5EF7-4850-A91C-C431C83D3937}" name="i" dataDxfId="52"/>
    <tableColumn id="2" xr3:uid="{9F801818-0D3E-4D52-A5C1-0F0AC897788F}" name="x" dataDxfId="51"/>
    <tableColumn id="3" xr3:uid="{5ADC72E5-E4D8-46BA-8CD8-4755930B3D6A}" name="y" dataDxfId="50">
      <calculatedColumnFormula>POWER(C4,2)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1631A2-5E6A-4205-8530-27E0237C6272}" name="Таблица19" displayName="Таблица19" ref="A1:D9" totalsRowShown="0" headerRowDxfId="41" headerRowBorderDxfId="47" tableBorderDxfId="48" totalsRowBorderDxfId="46">
  <autoFilter ref="A1:D9" xr:uid="{5F1631A2-5E6A-4205-8530-27E0237C6272}"/>
  <tableColumns count="4">
    <tableColumn id="1" xr3:uid="{5A7C8E16-CBFE-4A46-8A80-EA7D40575493}" name="x_i" dataDxfId="45"/>
    <tableColumn id="2" xr3:uid="{8D2D7EEA-B35C-40BF-B8A5-F3D374EEF055}" name="y_i" dataDxfId="44"/>
    <tableColumn id="3" xr3:uid="{E6143A9F-03E2-4768-AC0B-FDF337339930}" name="f(x0;x1)" dataDxfId="43"/>
    <tableColumn id="4" xr3:uid="{F42C2ED1-64B8-4720-A914-FB08EC6D2DD4}" name="f(x0;x1;x2)" dataDxfId="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D7C264F-BEF6-429C-96D3-2A2A6EFA9DA4}" name="Таблица21" displayName="Таблица21" ref="A6:B17" totalsRowShown="0" headerRowDxfId="35" headerRowBorderDxfId="39" tableBorderDxfId="40" totalsRowBorderDxfId="38">
  <autoFilter ref="A6:B17" xr:uid="{1D7C264F-BEF6-429C-96D3-2A2A6EFA9DA4}"/>
  <tableColumns count="2">
    <tableColumn id="1" xr3:uid="{E7D74930-FD2F-410E-9AA7-2B9BD0F0CAB9}" name="x" dataDxfId="37"/>
    <tableColumn id="2" xr3:uid="{4D4AE7C2-5DB2-45C3-B765-7257FACA95FD}" name="y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FC40DA-7E1C-4C82-9858-79C650B70947}" name="Таблица22" displayName="Таблица22" ref="F6:H16" totalsRowShown="0" headerRowBorderDxfId="33" tableBorderDxfId="34" totalsRowBorderDxfId="32">
  <autoFilter ref="F6:H16" xr:uid="{48FC40DA-7E1C-4C82-9858-79C650B70947}"/>
  <tableColumns count="3">
    <tableColumn id="1" xr3:uid="{9930F1BF-9770-4651-B51A-66E255178D50}" name="Δy" dataDxfId="31">
      <calculatedColumnFormula>(B8-B7)</calculatedColumnFormula>
    </tableColumn>
    <tableColumn id="2" xr3:uid="{86CED658-4D23-48FC-A798-9819FD52E807}" name="Δ^2y" dataDxfId="30"/>
    <tableColumn id="3" xr3:uid="{2BB96087-5C22-4B95-A936-CF028B89DE0E}" name="Δ^3y" dataDxfId="2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CBA68C0-2403-4C39-AE2E-55F2C1524C55}" name="Таблица23" displayName="Таблица23" ref="E32:F37" totalsRowShown="0" headerRowBorderDxfId="27" tableBorderDxfId="28" totalsRowBorderDxfId="26">
  <autoFilter ref="E32:F37" xr:uid="{4CBA68C0-2403-4C39-AE2E-55F2C1524C55}"/>
  <tableColumns count="2">
    <tableColumn id="1" xr3:uid="{57B66AC2-4238-44A5-8485-2E6C7BDE16A9}" name="Δy" dataDxfId="25">
      <calculatedColumnFormula>(B34-B33)</calculatedColumnFormula>
    </tableColumn>
    <tableColumn id="2" xr3:uid="{1B69DD78-7774-4BA2-9A62-A94EF97F1878}" name="Δ^2y" dataDxfId="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83A7395-E8D6-483A-9B42-265E34B9ED38}" name="Таблица24" displayName="Таблица24" ref="A32:B38" totalsRowShown="0" headerRowDxfId="20" tableBorderDxfId="23">
  <autoFilter ref="A32:B38" xr:uid="{A83A7395-E8D6-483A-9B42-265E34B9ED38}"/>
  <tableColumns count="2">
    <tableColumn id="1" xr3:uid="{91A1EC36-801B-45FB-B45B-F2A8682406CD}" name="x" dataDxfId="22"/>
    <tableColumn id="2" xr3:uid="{E0FB0E56-B0F4-4DEE-B975-FCD65C6FFC8D}" name="y" dataDxfId="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76A95B6-A69F-4BF4-A719-6C7806752FEA}" name="Таблица25" displayName="Таблица25" ref="A6:B14" totalsRowShown="0" headerRowDxfId="19" headerRowBorderDxfId="17" tableBorderDxfId="18" totalsRowBorderDxfId="16">
  <autoFilter ref="A6:B14" xr:uid="{B76A95B6-A69F-4BF4-A719-6C7806752FEA}"/>
  <tableColumns count="2">
    <tableColumn id="1" xr3:uid="{1F92163F-AE34-4DE2-91EC-1E708697BC66}" name="x" dataDxfId="15"/>
    <tableColumn id="2" xr3:uid="{BDB76D67-1374-417F-A13E-08AC8672B043}" name="y" dataDxfId="1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698D761-D383-4417-8552-35F289CB27ED}" name="Таблица26" displayName="Таблица26" ref="A20:C28" totalsRowShown="0" headerRowDxfId="13" headerRowBorderDxfId="11" tableBorderDxfId="12" totalsRowBorderDxfId="10">
  <autoFilter ref="A20:C28" xr:uid="{6698D761-D383-4417-8552-35F289CB27ED}"/>
  <tableColumns count="3">
    <tableColumn id="1" xr3:uid="{A0B69846-5FBB-47BE-A0A4-29645822F112}" name="i" dataDxfId="9"/>
    <tableColumn id="2" xr3:uid="{3C6B952C-FC4E-4B40-B937-9BCB858A8940}" name="x" dataDxfId="8"/>
    <tableColumn id="3" xr3:uid="{5E59A1E0-9CC9-4952-9C72-F9937121EE37}" name="y" dataDxfId="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CE5907B-63C2-4033-8EA0-965284392F0D}" name="Таблица27" displayName="Таблица27" ref="G21:L27" totalsRowShown="0" headerRowDxfId="6" tableBorderDxfId="5">
  <autoFilter ref="G21:L27" xr:uid="{BCE5907B-63C2-4033-8EA0-965284392F0D}"/>
  <tableColumns count="6">
    <tableColumn id="1" xr3:uid="{D86DE315-3337-45A2-ADD1-71278308F94C}" name="Δy" dataDxfId="4">
      <calculatedColumnFormula>(C23-C22)</calculatedColumnFormula>
    </tableColumn>
    <tableColumn id="2" xr3:uid="{8ABAF73D-15F0-4DFF-AD7F-626123C68D51}" name="Δ^2y" dataDxfId="3"/>
    <tableColumn id="3" xr3:uid="{3B436DB9-F18D-467E-9669-4686FD614B1B}" name="Δ^3y" dataDxfId="2"/>
    <tableColumn id="4" xr3:uid="{59CB8443-1876-4BF6-9E44-372E5EFE8397}" name="Δ^4y"/>
    <tableColumn id="5" xr3:uid="{DE54CC34-9230-4FBE-B43D-ADFB65E8B4D3}" name="Δ^5y" dataDxfId="1"/>
    <tableColumn id="6" xr3:uid="{F9BB42F8-E5AF-4EF1-A29C-122ACDA56705}" name="Δ^6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5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6239-9658-4128-A61A-7644E625284A}">
  <dimension ref="A1:M26"/>
  <sheetViews>
    <sheetView workbookViewId="0">
      <selection activeCell="F23" sqref="F23"/>
    </sheetView>
  </sheetViews>
  <sheetFormatPr defaultRowHeight="14.4"/>
  <cols>
    <col min="3" max="3" width="8.88671875" customWidth="1"/>
    <col min="4" max="4" width="10.88671875" customWidth="1"/>
    <col min="5" max="9" width="11.88671875" customWidth="1"/>
    <col min="10" max="10" width="15.33203125" customWidth="1"/>
  </cols>
  <sheetData>
    <row r="1" spans="1:13">
      <c r="B1" t="s">
        <v>21</v>
      </c>
      <c r="F1">
        <v>0.26300000000000001</v>
      </c>
    </row>
    <row r="2" spans="1:13">
      <c r="G2" s="1"/>
    </row>
    <row r="3" spans="1:13">
      <c r="B3" t="s">
        <v>1</v>
      </c>
      <c r="C3" t="s">
        <v>2</v>
      </c>
      <c r="D3" t="s">
        <v>3</v>
      </c>
    </row>
    <row r="4" spans="1:13">
      <c r="B4">
        <v>0</v>
      </c>
      <c r="C4">
        <v>0.05</v>
      </c>
      <c r="D4">
        <v>5.0042000000000003E-2</v>
      </c>
    </row>
    <row r="5" spans="1:13">
      <c r="B5">
        <v>1</v>
      </c>
      <c r="C5">
        <v>0.1</v>
      </c>
      <c r="D5">
        <v>0.10033499999999999</v>
      </c>
    </row>
    <row r="6" spans="1:13">
      <c r="B6">
        <v>2</v>
      </c>
      <c r="C6">
        <v>0.17</v>
      </c>
      <c r="D6">
        <v>0.171657</v>
      </c>
    </row>
    <row r="7" spans="1:13">
      <c r="B7">
        <v>3</v>
      </c>
      <c r="C7">
        <v>0.25</v>
      </c>
      <c r="D7">
        <v>0.25534200000000001</v>
      </c>
    </row>
    <row r="8" spans="1:13">
      <c r="B8">
        <v>4</v>
      </c>
      <c r="C8">
        <v>0.3</v>
      </c>
      <c r="D8">
        <v>0.309336</v>
      </c>
    </row>
    <row r="9" spans="1:13">
      <c r="B9">
        <v>5</v>
      </c>
      <c r="C9">
        <v>0.36</v>
      </c>
      <c r="D9">
        <v>0.37640299999999999</v>
      </c>
    </row>
    <row r="12" spans="1:13">
      <c r="M12" t="s">
        <v>8</v>
      </c>
    </row>
    <row r="13" spans="1:13">
      <c r="F13" s="16" t="s">
        <v>22</v>
      </c>
    </row>
    <row r="14" spans="1:13">
      <c r="A14" t="s">
        <v>1</v>
      </c>
      <c r="B14" t="s">
        <v>2</v>
      </c>
      <c r="C14" t="s">
        <v>3</v>
      </c>
      <c r="D14" t="s">
        <v>4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5</v>
      </c>
      <c r="K14" t="s">
        <v>6</v>
      </c>
      <c r="M14" t="s">
        <v>7</v>
      </c>
    </row>
    <row r="15" spans="1:13">
      <c r="A15">
        <v>0</v>
      </c>
      <c r="B15">
        <v>0.05</v>
      </c>
      <c r="C15">
        <v>5.0042000000000003E-2</v>
      </c>
      <c r="D15">
        <f>$F$1-C4</f>
        <v>0.21300000000000002</v>
      </c>
      <c r="E15">
        <f>$C$4-$C5</f>
        <v>-0.05</v>
      </c>
      <c r="F15">
        <f>$C$4-$C6</f>
        <v>-0.12000000000000001</v>
      </c>
      <c r="G15">
        <f>C4-$C$7</f>
        <v>-0.2</v>
      </c>
      <c r="H15">
        <f>C4-$C$8</f>
        <v>-0.25</v>
      </c>
      <c r="I15">
        <f>C4-$C$9</f>
        <v>-0.31</v>
      </c>
      <c r="J15">
        <f>PRODUCT(D15:I15)</f>
        <v>-1.9809000000000006E-5</v>
      </c>
      <c r="K15">
        <f>C15/J15</f>
        <v>-2526.2254530768837</v>
      </c>
      <c r="M15">
        <f>0.263-B15</f>
        <v>0.21300000000000002</v>
      </c>
    </row>
    <row r="16" spans="1:13">
      <c r="A16">
        <v>1</v>
      </c>
      <c r="B16">
        <v>0.1</v>
      </c>
      <c r="C16">
        <v>0.10033499999999999</v>
      </c>
      <c r="D16">
        <f>C5-$C$4</f>
        <v>0.05</v>
      </c>
      <c r="E16">
        <f>F1-C5</f>
        <v>0.16300000000000001</v>
      </c>
      <c r="F16">
        <f>C5-C6</f>
        <v>-7.0000000000000007E-2</v>
      </c>
      <c r="G16">
        <f>C5-$C$7</f>
        <v>-0.15</v>
      </c>
      <c r="H16">
        <f>C5-$C$8</f>
        <v>-0.19999999999999998</v>
      </c>
      <c r="I16">
        <f>C5-$C$9</f>
        <v>-0.26</v>
      </c>
      <c r="J16">
        <f t="shared" ref="J16:J20" si="0">PRODUCT(D16:I16)</f>
        <v>4.4499000000000004E-6</v>
      </c>
      <c r="K16">
        <f t="shared" ref="K16:K20" si="1">C16/J16</f>
        <v>22547.697701071931</v>
      </c>
      <c r="M16">
        <f>0.263-B16</f>
        <v>0.16300000000000001</v>
      </c>
    </row>
    <row r="17" spans="1:13">
      <c r="A17">
        <v>2</v>
      </c>
      <c r="B17">
        <v>0.17</v>
      </c>
      <c r="C17">
        <v>0.171657</v>
      </c>
      <c r="D17">
        <f>C6-$C$4</f>
        <v>0.12000000000000001</v>
      </c>
      <c r="E17">
        <f>C6-$C$5</f>
        <v>7.0000000000000007E-2</v>
      </c>
      <c r="F17">
        <f>F1-C6</f>
        <v>9.2999999999999999E-2</v>
      </c>
      <c r="G17">
        <f>C6-$C$7</f>
        <v>-7.9999999999999988E-2</v>
      </c>
      <c r="H17">
        <f>C6-$C$8</f>
        <v>-0.12999999999999998</v>
      </c>
      <c r="I17">
        <f>C6-$C$9</f>
        <v>-0.18999999999999997</v>
      </c>
      <c r="J17">
        <f t="shared" si="0"/>
        <v>-1.5436511999999995E-6</v>
      </c>
      <c r="K17">
        <f t="shared" si="1"/>
        <v>-111201.93473758842</v>
      </c>
      <c r="M17">
        <f>0.263-B17</f>
        <v>9.2999999999999999E-2</v>
      </c>
    </row>
    <row r="18" spans="1:13">
      <c r="A18">
        <v>3</v>
      </c>
      <c r="B18">
        <v>0.25</v>
      </c>
      <c r="C18">
        <v>0.25534200000000001</v>
      </c>
      <c r="D18">
        <f>C7-$C$4</f>
        <v>0.2</v>
      </c>
      <c r="E18">
        <f>C7-$C$5</f>
        <v>0.15</v>
      </c>
      <c r="F18">
        <f>C7-$C$6</f>
        <v>7.9999999999999988E-2</v>
      </c>
      <c r="G18">
        <f>F1-C7</f>
        <v>1.3000000000000012E-2</v>
      </c>
      <c r="H18">
        <f>C7-$C$8</f>
        <v>-4.9999999999999989E-2</v>
      </c>
      <c r="I18">
        <f>C7-$C$9</f>
        <v>-0.10999999999999999</v>
      </c>
      <c r="J18">
        <f t="shared" si="0"/>
        <v>1.7160000000000005E-7</v>
      </c>
      <c r="K18">
        <f t="shared" si="1"/>
        <v>1488006.9930069926</v>
      </c>
      <c r="M18">
        <f>0.263-B18</f>
        <v>1.3000000000000012E-2</v>
      </c>
    </row>
    <row r="19" spans="1:13">
      <c r="A19">
        <v>4</v>
      </c>
      <c r="B19">
        <v>0.3</v>
      </c>
      <c r="C19">
        <v>0.309336</v>
      </c>
      <c r="D19">
        <f>C8-$C$4</f>
        <v>0.25</v>
      </c>
      <c r="E19">
        <f>C8-$C$5</f>
        <v>0.19999999999999998</v>
      </c>
      <c r="F19">
        <f>C8-$C$6</f>
        <v>0.12999999999999998</v>
      </c>
      <c r="G19">
        <f>C8-$C$7</f>
        <v>4.9999999999999989E-2</v>
      </c>
      <c r="H19">
        <f>F1-C8</f>
        <v>-3.6999999999999977E-2</v>
      </c>
      <c r="I19">
        <f>C8-$C$9</f>
        <v>-0.06</v>
      </c>
      <c r="J19">
        <f t="shared" si="0"/>
        <v>7.2149999999999915E-7</v>
      </c>
      <c r="K19">
        <f t="shared" si="1"/>
        <v>428740.12474012526</v>
      </c>
      <c r="M19">
        <f>0.263-B19</f>
        <v>-3.6999999999999977E-2</v>
      </c>
    </row>
    <row r="20" spans="1:13">
      <c r="A20">
        <v>5</v>
      </c>
      <c r="B20">
        <v>0.36</v>
      </c>
      <c r="C20">
        <v>0.37640299999999999</v>
      </c>
      <c r="D20">
        <f>C9-$C$4</f>
        <v>0.31</v>
      </c>
      <c r="E20">
        <f>C9-$C$5</f>
        <v>0.26</v>
      </c>
      <c r="F20">
        <f>C9-$C$6</f>
        <v>0.18999999999999997</v>
      </c>
      <c r="G20">
        <f>C9-$C$7</f>
        <v>0.10999999999999999</v>
      </c>
      <c r="H20">
        <f>C9-$C$8</f>
        <v>0.06</v>
      </c>
      <c r="I20">
        <f>F1-C9</f>
        <v>-9.6999999999999975E-2</v>
      </c>
      <c r="J20">
        <f t="shared" si="0"/>
        <v>-9.804022799999996E-6</v>
      </c>
      <c r="K20">
        <f t="shared" si="1"/>
        <v>-38392.709572238055</v>
      </c>
      <c r="M20">
        <f>0.263-B20</f>
        <v>-9.6999999999999975E-2</v>
      </c>
    </row>
    <row r="23" spans="1:13">
      <c r="B23" t="s">
        <v>9</v>
      </c>
      <c r="C23" s="17">
        <f>PRODUCT(M15:M20)</f>
        <v>1.5064924761900002E-7</v>
      </c>
      <c r="D23" s="18"/>
    </row>
    <row r="24" spans="1:13">
      <c r="B24" t="s">
        <v>10</v>
      </c>
      <c r="C24" s="23">
        <f>SUM(K15:K20)</f>
        <v>1787173.9456852863</v>
      </c>
      <c r="D24" s="24"/>
    </row>
    <row r="26" spans="1:13">
      <c r="B26" t="s">
        <v>11</v>
      </c>
      <c r="C26" s="5">
        <f>C23*C24</f>
        <v>0.26923641028176798</v>
      </c>
      <c r="D26" s="6"/>
    </row>
  </sheetData>
  <mergeCells count="3">
    <mergeCell ref="C26:D26"/>
    <mergeCell ref="C23:D23"/>
    <mergeCell ref="C24:D2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D0D6-D557-419F-848A-C00EB7081934}">
  <dimension ref="A1:J25"/>
  <sheetViews>
    <sheetView workbookViewId="0">
      <selection activeCell="F24" sqref="F24"/>
    </sheetView>
  </sheetViews>
  <sheetFormatPr defaultRowHeight="14.4"/>
  <cols>
    <col min="2" max="4" width="11.109375" customWidth="1"/>
    <col min="7" max="7" width="11.21875" customWidth="1"/>
  </cols>
  <sheetData>
    <row r="1" spans="1:10">
      <c r="A1" t="s">
        <v>34</v>
      </c>
      <c r="F1">
        <v>0.1157</v>
      </c>
    </row>
    <row r="2" spans="1:10" ht="14.4" customHeight="1">
      <c r="B2" s="7"/>
      <c r="C2" s="7"/>
      <c r="D2" s="7"/>
      <c r="F2" s="1"/>
    </row>
    <row r="3" spans="1:10">
      <c r="B3" t="s">
        <v>1</v>
      </c>
      <c r="C3" t="s">
        <v>2</v>
      </c>
      <c r="D3" t="s">
        <v>3</v>
      </c>
    </row>
    <row r="4" spans="1:10">
      <c r="B4" s="9">
        <v>0</v>
      </c>
      <c r="C4" s="2">
        <v>0.10100000000000001</v>
      </c>
      <c r="D4" s="4">
        <v>1.26183</v>
      </c>
      <c r="J4" s="16"/>
    </row>
    <row r="5" spans="1:10">
      <c r="B5" s="9">
        <v>1</v>
      </c>
      <c r="C5" s="2">
        <v>0.106</v>
      </c>
      <c r="D5" s="4">
        <v>1.27644</v>
      </c>
      <c r="F5" t="s">
        <v>23</v>
      </c>
      <c r="G5" t="s">
        <v>24</v>
      </c>
      <c r="H5" t="s">
        <v>25</v>
      </c>
    </row>
    <row r="6" spans="1:10">
      <c r="B6" s="9">
        <v>2</v>
      </c>
      <c r="C6" s="2">
        <v>0.111</v>
      </c>
      <c r="D6" s="4">
        <v>1.29122</v>
      </c>
      <c r="F6" s="10">
        <f>(C5-C4)</f>
        <v>4.9999999999999906E-3</v>
      </c>
      <c r="G6" s="11">
        <f>(F1-C4)/F6</f>
        <v>2.9400000000000035</v>
      </c>
      <c r="H6" s="12">
        <v>5</v>
      </c>
    </row>
    <row r="7" spans="1:10">
      <c r="B7" s="9">
        <v>3</v>
      </c>
      <c r="C7" s="2">
        <v>0.11600000000000001</v>
      </c>
      <c r="D7" s="4">
        <v>1.3061700000000001</v>
      </c>
    </row>
    <row r="8" spans="1:10">
      <c r="B8" s="9">
        <v>4</v>
      </c>
      <c r="C8" s="2">
        <v>0.121</v>
      </c>
      <c r="D8" s="4">
        <v>1.3212999999999999</v>
      </c>
    </row>
    <row r="9" spans="1:10">
      <c r="B9" s="10">
        <v>5</v>
      </c>
      <c r="C9" s="11">
        <v>0.126</v>
      </c>
      <c r="D9" s="12">
        <v>1.3266</v>
      </c>
    </row>
    <row r="11" spans="1:10">
      <c r="D11" s="16" t="s">
        <v>22</v>
      </c>
    </row>
    <row r="12" spans="1:10">
      <c r="A12" t="s">
        <v>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s="19"/>
      <c r="I12" s="19"/>
    </row>
    <row r="13" spans="1:10">
      <c r="A13" s="8">
        <v>0</v>
      </c>
      <c r="B13" s="2">
        <v>0.10100000000000001</v>
      </c>
      <c r="C13" s="2">
        <v>1.26183</v>
      </c>
      <c r="D13" s="2">
        <f>$G$6-A13</f>
        <v>2.9400000000000035</v>
      </c>
      <c r="E13" s="2">
        <f>POWER(-1,($H$6-A13))*FACT(A13)*FACT($H$6-A13)</f>
        <v>-120</v>
      </c>
      <c r="F13" s="3">
        <f>D13*E13</f>
        <v>-352.80000000000041</v>
      </c>
      <c r="G13" s="4">
        <f>C13/F13</f>
        <v>-3.5766156462584994E-3</v>
      </c>
    </row>
    <row r="14" spans="1:10">
      <c r="A14" s="9">
        <v>1</v>
      </c>
      <c r="B14" s="2">
        <v>0.106</v>
      </c>
      <c r="C14" s="2">
        <v>1.27644</v>
      </c>
      <c r="D14" s="2">
        <f t="shared" ref="D14:D18" si="0">$G$6-A14</f>
        <v>1.9400000000000035</v>
      </c>
      <c r="E14" s="2">
        <f t="shared" ref="E14:E18" si="1">POWER(-1,($H$6-A14))*FACT(A14)*FACT($H$6-A14)</f>
        <v>24</v>
      </c>
      <c r="F14" s="3">
        <f t="shared" ref="F14:F18" si="2">D14*E14</f>
        <v>46.560000000000088</v>
      </c>
      <c r="G14" s="4">
        <f t="shared" ref="G14:G18" si="3">C14/F14</f>
        <v>2.7414948453608198E-2</v>
      </c>
    </row>
    <row r="15" spans="1:10">
      <c r="A15" s="9">
        <v>2</v>
      </c>
      <c r="B15" s="2">
        <v>0.111</v>
      </c>
      <c r="C15" s="2">
        <v>1.29122</v>
      </c>
      <c r="D15" s="2">
        <f t="shared" si="0"/>
        <v>0.9400000000000035</v>
      </c>
      <c r="E15" s="2">
        <f t="shared" si="1"/>
        <v>-12</v>
      </c>
      <c r="F15" s="3">
        <f t="shared" si="2"/>
        <v>-11.280000000000042</v>
      </c>
      <c r="G15" s="4">
        <f t="shared" si="3"/>
        <v>-0.11446985815602795</v>
      </c>
    </row>
    <row r="16" spans="1:10">
      <c r="A16" s="9">
        <v>3</v>
      </c>
      <c r="B16" s="2">
        <v>0.11600000000000001</v>
      </c>
      <c r="C16" s="2">
        <v>1.3061700000000001</v>
      </c>
      <c r="D16" s="2">
        <f t="shared" si="0"/>
        <v>-5.9999999999996501E-2</v>
      </c>
      <c r="E16" s="2">
        <f t="shared" si="1"/>
        <v>12</v>
      </c>
      <c r="F16" s="3">
        <f t="shared" si="2"/>
        <v>-0.71999999999995801</v>
      </c>
      <c r="G16" s="4">
        <f t="shared" si="3"/>
        <v>-1.8141250000001059</v>
      </c>
    </row>
    <row r="17" spans="1:7">
      <c r="A17" s="9">
        <v>4</v>
      </c>
      <c r="B17" s="2">
        <v>0.121</v>
      </c>
      <c r="C17" s="2">
        <v>1.3212999999999999</v>
      </c>
      <c r="D17" s="2">
        <f t="shared" si="0"/>
        <v>-1.0599999999999965</v>
      </c>
      <c r="E17" s="2">
        <f t="shared" si="1"/>
        <v>-24</v>
      </c>
      <c r="F17" s="3">
        <f t="shared" si="2"/>
        <v>25.439999999999916</v>
      </c>
      <c r="G17" s="4">
        <f t="shared" si="3"/>
        <v>5.1937893081761173E-2</v>
      </c>
    </row>
    <row r="18" spans="1:7">
      <c r="A18" s="10">
        <v>5</v>
      </c>
      <c r="B18" s="11">
        <v>0.126</v>
      </c>
      <c r="C18" s="11">
        <v>1.3266</v>
      </c>
      <c r="D18" s="11">
        <f t="shared" si="0"/>
        <v>-2.0599999999999965</v>
      </c>
      <c r="E18" s="11">
        <f t="shared" si="1"/>
        <v>120</v>
      </c>
      <c r="F18" s="13">
        <f t="shared" si="2"/>
        <v>-247.19999999999959</v>
      </c>
      <c r="G18" s="12">
        <f t="shared" si="3"/>
        <v>-5.3665048543689413E-3</v>
      </c>
    </row>
    <row r="21" spans="1:7">
      <c r="B21" t="s">
        <v>13</v>
      </c>
      <c r="C21" t="s">
        <v>14</v>
      </c>
      <c r="D21" t="s">
        <v>15</v>
      </c>
    </row>
    <row r="22" spans="1:7">
      <c r="C22" s="21" t="s">
        <v>32</v>
      </c>
      <c r="D22">
        <f>PRODUCT(D13:D18)</f>
        <v>-0.70242708614396021</v>
      </c>
    </row>
    <row r="23" spans="1:7">
      <c r="C23" s="22" t="s">
        <v>33</v>
      </c>
      <c r="D23">
        <f>SUM(G13:G18)</f>
        <v>-1.858185137121392</v>
      </c>
    </row>
    <row r="25" spans="1:7">
      <c r="C25" s="21" t="s">
        <v>35</v>
      </c>
      <c r="D25">
        <f>D22*D23</f>
        <v>1.3052395713841944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4305-795E-4633-B88F-13F83C8168DB}">
  <dimension ref="A1:L13"/>
  <sheetViews>
    <sheetView workbookViewId="0">
      <selection activeCell="E14" sqref="E14"/>
    </sheetView>
  </sheetViews>
  <sheetFormatPr defaultRowHeight="14.4"/>
  <cols>
    <col min="5" max="5" width="12.6640625" customWidth="1"/>
  </cols>
  <sheetData>
    <row r="1" spans="1:12">
      <c r="A1" t="s">
        <v>39</v>
      </c>
      <c r="L1" t="s">
        <v>38</v>
      </c>
    </row>
    <row r="2" spans="1:12" ht="14.4" customHeight="1">
      <c r="B2" t="s">
        <v>12</v>
      </c>
    </row>
    <row r="3" spans="1:12">
      <c r="B3" t="s">
        <v>1</v>
      </c>
      <c r="C3" t="s">
        <v>2</v>
      </c>
      <c r="D3" t="s">
        <v>3</v>
      </c>
    </row>
    <row r="4" spans="1:12">
      <c r="B4" s="9">
        <v>0</v>
      </c>
      <c r="C4" s="2">
        <v>0</v>
      </c>
      <c r="D4" s="4">
        <f>SIN(C4)</f>
        <v>0</v>
      </c>
    </row>
    <row r="5" spans="1:12">
      <c r="B5" s="9">
        <v>1</v>
      </c>
      <c r="C5" s="25">
        <v>0.16666666666666666</v>
      </c>
      <c r="D5" s="26">
        <f>SIN(3.1415*C5)</f>
        <v>0.49998662654663251</v>
      </c>
    </row>
    <row r="6" spans="1:12">
      <c r="B6" s="10">
        <v>2</v>
      </c>
      <c r="C6" s="27">
        <v>0.5</v>
      </c>
      <c r="D6" s="12">
        <f>SIN(3.1415*C6)</f>
        <v>0.99999999892691405</v>
      </c>
    </row>
    <row r="9" spans="1:12" ht="14.4" customHeight="1">
      <c r="A9" s="28" t="s">
        <v>40</v>
      </c>
      <c r="B9" s="29"/>
      <c r="C9" s="29"/>
      <c r="D9" s="29"/>
      <c r="E9" s="29"/>
      <c r="F9" s="29"/>
      <c r="G9" s="30"/>
    </row>
    <row r="10" spans="1:12">
      <c r="A10" s="31"/>
      <c r="B10" s="32"/>
      <c r="C10" s="32"/>
      <c r="D10" s="32"/>
      <c r="E10" s="32"/>
      <c r="F10" s="32"/>
      <c r="G10" s="33"/>
    </row>
    <row r="11" spans="1:12">
      <c r="A11" s="1"/>
      <c r="B11" s="1"/>
      <c r="C11" s="1"/>
      <c r="D11" s="1"/>
      <c r="E11" s="1"/>
      <c r="F11" s="1"/>
      <c r="G11" s="1"/>
    </row>
    <row r="12" spans="1:12">
      <c r="A12" s="1"/>
      <c r="B12" t="s">
        <v>36</v>
      </c>
      <c r="C12">
        <f>(7/2)*(1/4)-3*POWER(1/4,2)</f>
        <v>0.6875</v>
      </c>
      <c r="E12" s="1"/>
      <c r="F12" s="1"/>
      <c r="G12" s="1"/>
    </row>
    <row r="13" spans="1:12" ht="14.4" customHeight="1">
      <c r="B13" t="s">
        <v>37</v>
      </c>
      <c r="C13">
        <f>(7/2)*(1/3)-3*POWER(1/3,2)</f>
        <v>0.83333333333333326</v>
      </c>
    </row>
  </sheetData>
  <mergeCells count="1">
    <mergeCell ref="A9:G10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5AB3-25D5-4F2F-A14D-E64BE0C5ABD8}">
  <dimension ref="A1:J6"/>
  <sheetViews>
    <sheetView workbookViewId="0">
      <selection activeCell="K13" sqref="K13"/>
    </sheetView>
  </sheetViews>
  <sheetFormatPr defaultRowHeight="14.4"/>
  <sheetData>
    <row r="1" spans="1:10">
      <c r="A1" t="s">
        <v>43</v>
      </c>
      <c r="J1" t="s">
        <v>41</v>
      </c>
    </row>
    <row r="2" spans="1:10" ht="14.4" customHeight="1">
      <c r="B2" t="s">
        <v>42</v>
      </c>
      <c r="F2" s="1"/>
    </row>
    <row r="3" spans="1:10">
      <c r="B3" t="s">
        <v>1</v>
      </c>
      <c r="C3" t="s">
        <v>2</v>
      </c>
      <c r="D3" t="s">
        <v>3</v>
      </c>
    </row>
    <row r="4" spans="1:10">
      <c r="B4" s="9">
        <v>0</v>
      </c>
      <c r="C4" s="34">
        <v>-1</v>
      </c>
      <c r="D4" s="4">
        <f>POWER(C4,2)</f>
        <v>1</v>
      </c>
    </row>
    <row r="5" spans="1:10">
      <c r="B5" s="9">
        <v>1</v>
      </c>
      <c r="C5" s="34">
        <v>0</v>
      </c>
      <c r="D5" s="4">
        <f t="shared" ref="D5:D6" si="0">POWER(C5,2)</f>
        <v>0</v>
      </c>
    </row>
    <row r="6" spans="1:10">
      <c r="B6" s="10">
        <v>2</v>
      </c>
      <c r="C6" s="35">
        <v>1</v>
      </c>
      <c r="D6" s="12">
        <f t="shared" si="0"/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C5E3-0935-4D92-9B96-C065A6CA35D5}">
  <dimension ref="A1:H43"/>
  <sheetViews>
    <sheetView workbookViewId="0">
      <selection activeCell="F21" sqref="F21"/>
    </sheetView>
  </sheetViews>
  <sheetFormatPr defaultRowHeight="14.4"/>
  <cols>
    <col min="1" max="1" width="13.77734375" customWidth="1"/>
    <col min="2" max="2" width="12.6640625" customWidth="1"/>
    <col min="3" max="3" width="11" customWidth="1"/>
    <col min="4" max="4" width="14.5546875" customWidth="1"/>
    <col min="5" max="5" width="13.33203125" customWidth="1"/>
    <col min="6" max="6" width="11.5546875" bestFit="1" customWidth="1"/>
    <col min="8" max="8" width="10.33203125" bestFit="1" customWidth="1"/>
  </cols>
  <sheetData>
    <row r="1" spans="1:8" ht="18">
      <c r="A1" s="36" t="s">
        <v>44</v>
      </c>
      <c r="B1" s="36" t="s">
        <v>45</v>
      </c>
      <c r="C1" s="36" t="s">
        <v>46</v>
      </c>
      <c r="D1" s="36" t="s">
        <v>47</v>
      </c>
      <c r="E1" s="36"/>
      <c r="F1" s="36"/>
      <c r="G1" s="36"/>
    </row>
    <row r="2" spans="1:8" ht="18">
      <c r="A2" s="55">
        <v>0.10299999999999999</v>
      </c>
      <c r="B2" s="38">
        <v>2.0128400000000002</v>
      </c>
      <c r="C2" s="38">
        <f>(B3-B2)/(A3-A2)</f>
        <v>4.1159999999999606</v>
      </c>
      <c r="D2" s="43">
        <f>(C3-C2)/(A4-A2)</f>
        <v>-18.238095238089929</v>
      </c>
      <c r="E2" s="36"/>
      <c r="F2" s="36"/>
      <c r="G2" s="36"/>
    </row>
    <row r="3" spans="1:8" ht="18">
      <c r="A3" s="55">
        <v>0.108</v>
      </c>
      <c r="B3" s="38">
        <v>2.03342</v>
      </c>
      <c r="C3" s="38">
        <f t="shared" ref="C3:C7" si="0">(B4-B3)/(A4-A3)</f>
        <v>3.8971428571428812</v>
      </c>
      <c r="D3" s="43">
        <f t="shared" ref="D3:D6" si="1">(C4-C3)/(A5-A3)</f>
        <v>-16.761904761909015</v>
      </c>
      <c r="E3" s="36"/>
      <c r="F3" s="36"/>
      <c r="G3" s="36"/>
    </row>
    <row r="4" spans="1:8" ht="18">
      <c r="A4" s="55">
        <v>0.115</v>
      </c>
      <c r="B4" s="38">
        <v>2.0607000000000002</v>
      </c>
      <c r="C4" s="38">
        <f t="shared" si="0"/>
        <v>3.6959999999999731</v>
      </c>
      <c r="D4" s="43">
        <f t="shared" si="1"/>
        <v>-14.788461538461851</v>
      </c>
      <c r="E4" s="36"/>
      <c r="F4" s="36"/>
      <c r="G4" s="36"/>
    </row>
    <row r="5" spans="1:8" ht="18">
      <c r="A5" s="55">
        <v>0.12</v>
      </c>
      <c r="B5" s="38">
        <v>2.07918</v>
      </c>
      <c r="C5" s="38">
        <f t="shared" si="0"/>
        <v>3.5037499999999691</v>
      </c>
      <c r="D5" s="43">
        <f t="shared" si="1"/>
        <v>-13.28124999999679</v>
      </c>
      <c r="E5" s="36"/>
      <c r="F5" s="36"/>
      <c r="G5" s="36"/>
      <c r="H5" s="39"/>
    </row>
    <row r="6" spans="1:8" ht="18">
      <c r="A6" s="55">
        <v>0.128</v>
      </c>
      <c r="B6" s="38">
        <v>2.1072099999999998</v>
      </c>
      <c r="C6" s="38">
        <f t="shared" si="0"/>
        <v>3.2912500000000202</v>
      </c>
      <c r="D6" s="43">
        <f t="shared" si="1"/>
        <v>-11.942307692306008</v>
      </c>
      <c r="E6" s="36"/>
      <c r="F6" s="36"/>
      <c r="G6" s="36"/>
    </row>
    <row r="7" spans="1:8" ht="18">
      <c r="A7" s="55">
        <v>0.13600000000000001</v>
      </c>
      <c r="B7" s="38">
        <v>2.13354</v>
      </c>
      <c r="C7" s="38">
        <f t="shared" si="0"/>
        <v>3.1360000000000423</v>
      </c>
      <c r="D7" s="43">
        <f>(C8-C7)/(A9-A7)</f>
        <v>-10.746031746037129</v>
      </c>
      <c r="E7" s="36"/>
      <c r="F7" s="36"/>
      <c r="G7" s="36"/>
    </row>
    <row r="8" spans="1:8" ht="18">
      <c r="A8" s="55">
        <v>0.14099999999999999</v>
      </c>
      <c r="B8" s="38">
        <v>2.1492200000000001</v>
      </c>
      <c r="C8" s="38">
        <f>(B9-B8)/(A9-A8)</f>
        <v>2.9855555555555227</v>
      </c>
      <c r="D8" s="56" t="s">
        <v>48</v>
      </c>
      <c r="E8" s="36"/>
      <c r="F8" s="36"/>
      <c r="G8" s="36"/>
    </row>
    <row r="9" spans="1:8" ht="18">
      <c r="A9" s="57">
        <v>0.15</v>
      </c>
      <c r="B9" s="51">
        <v>2.1760899999999999</v>
      </c>
      <c r="C9" s="58" t="s">
        <v>48</v>
      </c>
      <c r="D9" s="59" t="s">
        <v>48</v>
      </c>
      <c r="E9" s="36"/>
      <c r="F9" s="36"/>
      <c r="G9" s="36"/>
    </row>
    <row r="10" spans="1:8" ht="18">
      <c r="A10" s="36"/>
      <c r="B10" s="36"/>
      <c r="C10" s="36"/>
      <c r="D10" s="36"/>
      <c r="E10" s="36"/>
      <c r="F10" s="36"/>
      <c r="G10" s="36"/>
    </row>
    <row r="11" spans="1:8" ht="18">
      <c r="A11" s="36"/>
      <c r="B11" s="36"/>
      <c r="C11" s="36"/>
      <c r="D11" s="36"/>
      <c r="E11" s="36"/>
      <c r="F11" s="36"/>
      <c r="G11" s="36"/>
    </row>
    <row r="12" spans="1:8" ht="18">
      <c r="A12" s="36" t="s">
        <v>49</v>
      </c>
      <c r="B12" s="36"/>
      <c r="C12" s="36"/>
      <c r="D12" s="36"/>
      <c r="E12" s="36" t="s">
        <v>50</v>
      </c>
      <c r="F12" s="36"/>
      <c r="G12" s="36"/>
    </row>
    <row r="13" spans="1:8" ht="18">
      <c r="A13" s="60" t="s">
        <v>51</v>
      </c>
      <c r="B13" s="61"/>
      <c r="C13" s="40"/>
      <c r="D13" s="36"/>
      <c r="E13" s="41" t="s">
        <v>52</v>
      </c>
      <c r="F13" s="41"/>
      <c r="G13" s="42"/>
    </row>
    <row r="14" spans="1:8" ht="18">
      <c r="A14" s="43" t="s">
        <v>53</v>
      </c>
      <c r="B14" s="44">
        <f>B2+C2*(0.112-A2)+D2*(0.112-A2)*(0.112-A3)</f>
        <v>2.0492274285714287</v>
      </c>
      <c r="C14" s="45"/>
      <c r="D14" s="36"/>
      <c r="E14" s="43" t="s">
        <v>54</v>
      </c>
      <c r="F14" s="44">
        <f>B5+C5*(0.133-A5)+D5*(0.133-A5)*(0.133-A6)</f>
        <v>2.1238654687499996</v>
      </c>
      <c r="G14" s="45"/>
    </row>
    <row r="15" spans="1:8" ht="18">
      <c r="A15" s="60" t="s">
        <v>55</v>
      </c>
      <c r="B15" s="61"/>
      <c r="C15" s="40"/>
      <c r="D15" s="36"/>
      <c r="E15" s="46" t="s">
        <v>56</v>
      </c>
      <c r="F15" s="46"/>
      <c r="G15" s="42"/>
    </row>
    <row r="16" spans="1:8" ht="18">
      <c r="A16" s="38" t="s">
        <v>53</v>
      </c>
      <c r="B16" s="47">
        <f>B3+C3*(0.112-A3)+D3*(0.112-A3)*(0.112-A4)</f>
        <v>2.0492097142857149</v>
      </c>
      <c r="C16" s="38"/>
      <c r="D16" s="36"/>
      <c r="E16" s="43" t="s">
        <v>54</v>
      </c>
      <c r="F16" s="44">
        <f>B6+C6*(0.133-A6)+D6*(0.133-A6)*(0.133-A7)</f>
        <v>2.1238453846153846</v>
      </c>
      <c r="G16" s="45"/>
    </row>
    <row r="17" spans="1:7" ht="18">
      <c r="A17" s="41" t="s">
        <v>57</v>
      </c>
      <c r="B17" s="42"/>
      <c r="C17" s="42"/>
      <c r="D17" s="36"/>
      <c r="E17" s="46" t="s">
        <v>57</v>
      </c>
      <c r="F17" s="48"/>
      <c r="G17" s="42"/>
    </row>
    <row r="18" spans="1:7" ht="18">
      <c r="A18" s="49"/>
      <c r="B18" s="36" t="s">
        <v>58</v>
      </c>
      <c r="C18" s="36"/>
      <c r="D18" s="36"/>
      <c r="E18" s="49"/>
      <c r="F18" s="36" t="s">
        <v>59</v>
      </c>
      <c r="G18" s="36"/>
    </row>
    <row r="19" spans="1:7" ht="18">
      <c r="A19" s="36"/>
      <c r="B19" s="36"/>
      <c r="C19" s="36"/>
      <c r="D19" s="36"/>
      <c r="E19" s="36"/>
      <c r="F19" s="36"/>
      <c r="G19" s="50"/>
    </row>
    <row r="20" spans="1:7" ht="18">
      <c r="A20" s="36"/>
      <c r="B20" s="36"/>
      <c r="C20" s="36"/>
      <c r="D20" s="36"/>
      <c r="E20" s="36"/>
      <c r="F20" s="36"/>
      <c r="G20" s="50"/>
    </row>
    <row r="21" spans="1:7" ht="18">
      <c r="A21" s="36"/>
      <c r="B21" s="36"/>
      <c r="C21" s="36"/>
      <c r="D21" s="36"/>
      <c r="E21" s="36"/>
      <c r="F21" s="36"/>
      <c r="G21" s="36"/>
    </row>
    <row r="22" spans="1:7" ht="18">
      <c r="A22" s="36"/>
      <c r="B22" s="36"/>
      <c r="C22" s="36"/>
      <c r="D22" s="36"/>
      <c r="E22" s="36"/>
      <c r="F22" s="36"/>
      <c r="G22" s="36"/>
    </row>
    <row r="23" spans="1:7" ht="18">
      <c r="A23" s="36"/>
      <c r="B23" s="36"/>
      <c r="C23" s="36"/>
      <c r="D23" s="36"/>
      <c r="E23" s="36"/>
      <c r="F23" s="36"/>
      <c r="G23" s="36"/>
    </row>
    <row r="24" spans="1:7" ht="18">
      <c r="A24" s="36"/>
      <c r="B24" s="36"/>
      <c r="C24" s="36"/>
      <c r="D24" s="36"/>
      <c r="E24" s="36"/>
      <c r="F24" s="36"/>
      <c r="G24" s="36"/>
    </row>
    <row r="25" spans="1:7" ht="18">
      <c r="A25" s="36" t="s">
        <v>60</v>
      </c>
      <c r="B25" s="36"/>
      <c r="C25" s="36"/>
      <c r="D25" s="36"/>
      <c r="E25" s="36"/>
      <c r="F25" s="36"/>
      <c r="G25" s="36"/>
    </row>
    <row r="26" spans="1:7" ht="18">
      <c r="A26" s="37">
        <v>0.10299999999999999</v>
      </c>
      <c r="B26" s="38">
        <v>2.0128400000000002</v>
      </c>
      <c r="C26" s="36"/>
      <c r="D26" s="36"/>
      <c r="E26" s="36"/>
      <c r="F26" s="36"/>
      <c r="G26" s="36"/>
    </row>
    <row r="27" spans="1:7" ht="18">
      <c r="A27" s="37">
        <v>0.108</v>
      </c>
      <c r="B27" s="51">
        <v>2.03342</v>
      </c>
      <c r="C27" s="36"/>
      <c r="D27" s="36"/>
      <c r="E27" s="36"/>
      <c r="F27" s="36"/>
      <c r="G27" s="36"/>
    </row>
    <row r="28" spans="1:7" ht="18">
      <c r="A28" s="36">
        <v>0.112</v>
      </c>
      <c r="B28" s="38">
        <v>2.04922</v>
      </c>
      <c r="C28" s="36"/>
      <c r="D28" s="36"/>
      <c r="E28" s="36"/>
      <c r="F28" s="36"/>
      <c r="G28" s="36"/>
    </row>
    <row r="29" spans="1:7" ht="18">
      <c r="A29" s="37">
        <v>0.115</v>
      </c>
      <c r="B29" s="52">
        <v>2.0607000000000002</v>
      </c>
      <c r="C29" s="36"/>
      <c r="D29" s="36"/>
      <c r="E29" s="36"/>
      <c r="F29" s="36"/>
      <c r="G29" s="36"/>
    </row>
    <row r="30" spans="1:7" ht="18">
      <c r="A30" s="37">
        <v>0.12</v>
      </c>
      <c r="B30" s="38">
        <v>2.07918</v>
      </c>
      <c r="C30" s="36"/>
      <c r="D30" s="36"/>
      <c r="E30" s="36"/>
      <c r="F30" s="36"/>
      <c r="G30" s="36"/>
    </row>
    <row r="31" spans="1:7" ht="18">
      <c r="A31" s="37">
        <v>0.128</v>
      </c>
      <c r="B31" s="38">
        <v>2.1072099999999998</v>
      </c>
      <c r="C31" s="36"/>
      <c r="D31" s="36"/>
      <c r="E31" s="36"/>
      <c r="F31" s="36"/>
      <c r="G31" s="36"/>
    </row>
    <row r="32" spans="1:7" ht="18">
      <c r="A32" s="36">
        <v>0.13300000000000001</v>
      </c>
      <c r="B32" s="53">
        <v>2.1238600000000001</v>
      </c>
      <c r="C32" s="36"/>
      <c r="D32" s="36"/>
      <c r="E32" s="36"/>
      <c r="F32" s="36"/>
      <c r="G32" s="36"/>
    </row>
    <row r="33" spans="1:7" ht="18">
      <c r="A33" s="37">
        <v>0.13600000000000001</v>
      </c>
      <c r="B33" s="38">
        <v>2.13354</v>
      </c>
      <c r="C33" s="36"/>
      <c r="D33" s="36"/>
      <c r="E33" s="36"/>
      <c r="F33" s="36"/>
      <c r="G33" s="36"/>
    </row>
    <row r="34" spans="1:7" ht="18">
      <c r="A34" s="37">
        <v>0.14099999999999999</v>
      </c>
      <c r="B34" s="38">
        <v>2.1492200000000001</v>
      </c>
      <c r="C34" s="54"/>
      <c r="D34" s="54"/>
      <c r="E34" s="54"/>
      <c r="F34" s="54"/>
      <c r="G34" s="54"/>
    </row>
    <row r="35" spans="1:7" ht="18">
      <c r="A35" s="37">
        <v>0.15</v>
      </c>
      <c r="B35" s="38">
        <v>2.1760899999999999</v>
      </c>
      <c r="C35" s="54"/>
      <c r="D35" s="54"/>
      <c r="E35" s="54"/>
      <c r="F35" s="54"/>
      <c r="G35" s="54"/>
    </row>
    <row r="36" spans="1:7" ht="15.6">
      <c r="A36" s="54"/>
      <c r="B36" s="54"/>
      <c r="C36" s="54"/>
      <c r="D36" s="54"/>
      <c r="E36" s="54"/>
      <c r="F36" s="54"/>
      <c r="G36" s="54"/>
    </row>
    <row r="37" spans="1:7" ht="15.6">
      <c r="A37" s="54"/>
      <c r="B37" s="54"/>
      <c r="C37" s="54"/>
      <c r="D37" s="54"/>
      <c r="E37" s="54"/>
      <c r="F37" s="54"/>
      <c r="G37" s="54"/>
    </row>
    <row r="38" spans="1:7" ht="15.6">
      <c r="A38" s="54"/>
      <c r="B38" s="54"/>
      <c r="C38" s="54"/>
      <c r="D38" s="54"/>
      <c r="E38" s="54"/>
      <c r="F38" s="54"/>
      <c r="G38" s="54"/>
    </row>
    <row r="39" spans="1:7" ht="15.6">
      <c r="A39" s="54"/>
      <c r="B39" s="54"/>
      <c r="C39" s="54"/>
      <c r="D39" s="54"/>
      <c r="E39" s="54"/>
      <c r="F39" s="54"/>
      <c r="G39" s="54"/>
    </row>
    <row r="40" spans="1:7" ht="15.6">
      <c r="A40" s="54"/>
      <c r="B40" s="54"/>
      <c r="C40" s="54"/>
      <c r="D40" s="54"/>
      <c r="E40" s="54"/>
      <c r="F40" s="54"/>
      <c r="G40" s="54"/>
    </row>
    <row r="41" spans="1:7" ht="15.6">
      <c r="A41" s="54"/>
      <c r="B41" s="54"/>
      <c r="C41" s="54"/>
      <c r="D41" s="54"/>
      <c r="E41" s="54"/>
      <c r="F41" s="54"/>
      <c r="G41" s="54"/>
    </row>
    <row r="42" spans="1:7" ht="15.6">
      <c r="A42" s="54"/>
      <c r="B42" s="54"/>
      <c r="C42" s="54"/>
      <c r="D42" s="54"/>
      <c r="E42" s="54"/>
      <c r="F42" s="54"/>
      <c r="G42" s="54"/>
    </row>
    <row r="43" spans="1:7" ht="15.6">
      <c r="A43" s="54"/>
      <c r="B43" s="54"/>
      <c r="C43" s="54"/>
      <c r="D43" s="54"/>
      <c r="E43" s="54"/>
      <c r="F43" s="54"/>
      <c r="G43" s="54"/>
    </row>
  </sheetData>
  <mergeCells count="6">
    <mergeCell ref="A17:C17"/>
    <mergeCell ref="E17:G17"/>
    <mergeCell ref="A13:C13"/>
    <mergeCell ref="E13:G13"/>
    <mergeCell ref="A15:C15"/>
    <mergeCell ref="E15:G15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A7C5-7E71-4975-9174-D84871F045AA}">
  <dimension ref="A1:X92"/>
  <sheetViews>
    <sheetView workbookViewId="0">
      <selection activeCell="S35" sqref="S35"/>
    </sheetView>
  </sheetViews>
  <sheetFormatPr defaultRowHeight="14.4"/>
  <cols>
    <col min="2" max="2" width="14.88671875" customWidth="1"/>
    <col min="8" max="8" width="10.77734375" customWidth="1"/>
    <col min="9" max="9" width="16" customWidth="1"/>
  </cols>
  <sheetData>
    <row r="1" spans="1:21" ht="14.4" customHeight="1">
      <c r="A1" s="70" t="s">
        <v>61</v>
      </c>
    </row>
    <row r="2" spans="1:21" ht="15" customHeight="1"/>
    <row r="3" spans="1:21" ht="20.399999999999999">
      <c r="A3" s="86" t="s">
        <v>62</v>
      </c>
      <c r="B3" s="71"/>
    </row>
    <row r="5" spans="1:21" ht="15.6">
      <c r="A5" t="s">
        <v>0</v>
      </c>
      <c r="C5" s="62"/>
      <c r="D5" s="62"/>
      <c r="E5" s="62"/>
      <c r="F5" t="s">
        <v>63</v>
      </c>
      <c r="I5" s="62"/>
      <c r="J5" s="62"/>
      <c r="K5" s="62"/>
      <c r="L5" s="62"/>
      <c r="M5" s="63"/>
      <c r="N5" s="63"/>
      <c r="O5" s="63"/>
      <c r="P5" s="63"/>
      <c r="Q5" s="63"/>
      <c r="R5" s="63"/>
      <c r="S5" s="63"/>
      <c r="T5" s="63"/>
      <c r="U5" s="63"/>
    </row>
    <row r="6" spans="1:21" ht="15.6">
      <c r="A6" t="s">
        <v>2</v>
      </c>
      <c r="B6" t="s">
        <v>3</v>
      </c>
      <c r="F6" t="s">
        <v>64</v>
      </c>
      <c r="G6" t="s">
        <v>65</v>
      </c>
      <c r="H6" t="s">
        <v>66</v>
      </c>
      <c r="I6" s="62"/>
      <c r="J6" s="62"/>
      <c r="K6" s="62"/>
      <c r="L6" s="62"/>
      <c r="M6" s="63"/>
      <c r="N6" s="63"/>
      <c r="O6" s="63"/>
      <c r="P6" s="63"/>
      <c r="Q6" s="63"/>
      <c r="R6" s="63"/>
      <c r="S6" s="63"/>
      <c r="T6" s="63"/>
      <c r="U6" s="63"/>
    </row>
    <row r="7" spans="1:21" ht="15.6">
      <c r="A7" s="72">
        <v>1</v>
      </c>
      <c r="B7" s="74">
        <v>0.8427</v>
      </c>
      <c r="C7" s="62"/>
      <c r="D7" s="62"/>
      <c r="E7" s="62"/>
      <c r="F7" s="73">
        <f>(B8-B7)</f>
        <v>3.7499999999999978E-2</v>
      </c>
      <c r="G7" s="64">
        <f>(F8-F7)</f>
        <v>-7.3999999999999622E-3</v>
      </c>
      <c r="H7" s="74">
        <f>G8-G7</f>
        <v>1.0000000000000009E-3</v>
      </c>
      <c r="I7" s="62"/>
      <c r="J7" s="62"/>
      <c r="K7" s="62"/>
      <c r="L7" s="62"/>
      <c r="M7" s="63"/>
      <c r="N7" s="63"/>
      <c r="O7" s="63"/>
      <c r="P7" s="63"/>
      <c r="Q7" s="63"/>
      <c r="R7" s="63"/>
      <c r="S7" s="63"/>
      <c r="T7" s="63"/>
      <c r="U7" s="63"/>
    </row>
    <row r="8" spans="1:21" ht="15.6">
      <c r="A8" s="72">
        <v>1.1000000000000001</v>
      </c>
      <c r="B8" s="74">
        <v>0.88019999999999998</v>
      </c>
      <c r="C8" s="62"/>
      <c r="D8" s="62"/>
      <c r="E8" s="62"/>
      <c r="F8" s="73">
        <f t="shared" ref="F8:F16" si="0">(B9-B8)</f>
        <v>3.0100000000000016E-2</v>
      </c>
      <c r="G8" s="64">
        <f t="shared" ref="G8:G15" si="1">(F9-F8)</f>
        <v>-6.3999999999999613E-3</v>
      </c>
      <c r="H8" s="74">
        <f t="shared" ref="H8:H14" si="2">G9-G8</f>
        <v>9.9999999999988987E-4</v>
      </c>
      <c r="I8" s="62"/>
      <c r="J8" s="62"/>
      <c r="K8" s="62"/>
      <c r="L8" s="62"/>
      <c r="M8" s="63"/>
      <c r="N8" s="63"/>
      <c r="O8" s="63"/>
      <c r="P8" s="63"/>
      <c r="Q8" s="63"/>
      <c r="R8" s="63"/>
      <c r="S8" s="63"/>
      <c r="T8" s="63"/>
      <c r="U8" s="63"/>
    </row>
    <row r="9" spans="1:21" ht="15.6">
      <c r="A9" s="72">
        <v>1.2</v>
      </c>
      <c r="B9" s="74">
        <v>0.9103</v>
      </c>
      <c r="C9" s="62"/>
      <c r="D9" s="62"/>
      <c r="E9" s="62"/>
      <c r="F9" s="73">
        <f t="shared" si="0"/>
        <v>2.3700000000000054E-2</v>
      </c>
      <c r="G9" s="64">
        <f t="shared" si="1"/>
        <v>-5.4000000000000714E-3</v>
      </c>
      <c r="H9" s="74">
        <f t="shared" si="2"/>
        <v>9.000000000000119E-4</v>
      </c>
      <c r="I9" s="62"/>
      <c r="J9" s="62"/>
      <c r="K9" s="62"/>
      <c r="L9" s="62"/>
      <c r="M9" s="63"/>
      <c r="N9" s="63"/>
      <c r="O9" s="63"/>
      <c r="P9" s="63"/>
      <c r="Q9" s="63"/>
      <c r="R9" s="63"/>
      <c r="S9" s="63"/>
      <c r="T9" s="63"/>
      <c r="U9" s="63"/>
    </row>
    <row r="10" spans="1:21" ht="15.6">
      <c r="A10" s="73">
        <v>1.3</v>
      </c>
      <c r="B10" s="74">
        <v>0.93400000000000005</v>
      </c>
      <c r="C10" s="62"/>
      <c r="D10" s="62"/>
      <c r="E10" s="62"/>
      <c r="F10" s="73">
        <f t="shared" si="0"/>
        <v>1.8299999999999983E-2</v>
      </c>
      <c r="G10" s="64">
        <f t="shared" si="1"/>
        <v>-4.5000000000000595E-3</v>
      </c>
      <c r="H10" s="74">
        <f t="shared" si="2"/>
        <v>9.0000000000012292E-4</v>
      </c>
      <c r="I10" s="62"/>
      <c r="J10" s="62"/>
      <c r="K10" s="62"/>
      <c r="L10" s="62"/>
      <c r="M10" s="63"/>
      <c r="N10" s="63"/>
      <c r="O10" s="63"/>
      <c r="P10" s="63"/>
      <c r="Q10" s="63"/>
      <c r="R10" s="63"/>
      <c r="S10" s="63"/>
      <c r="T10" s="63"/>
      <c r="U10" s="63"/>
    </row>
    <row r="11" spans="1:21" ht="15.6">
      <c r="A11" s="73">
        <v>1.4</v>
      </c>
      <c r="B11" s="74">
        <v>0.95230000000000004</v>
      </c>
      <c r="C11" s="62"/>
      <c r="D11" s="62"/>
      <c r="E11" s="62"/>
      <c r="F11" s="73">
        <f t="shared" si="0"/>
        <v>1.3799999999999923E-2</v>
      </c>
      <c r="G11" s="64">
        <f t="shared" si="1"/>
        <v>-3.5999999999999366E-3</v>
      </c>
      <c r="H11" s="74">
        <f t="shared" si="2"/>
        <v>9.000000000000119E-4</v>
      </c>
      <c r="I11" s="62"/>
      <c r="J11" s="62"/>
      <c r="K11" s="62"/>
      <c r="L11" s="62"/>
      <c r="M11" s="63"/>
      <c r="N11" s="63"/>
      <c r="O11" s="63"/>
      <c r="P11" s="63"/>
      <c r="Q11" s="63"/>
      <c r="R11" s="63"/>
      <c r="S11" s="63"/>
      <c r="T11" s="63"/>
      <c r="U11" s="63"/>
    </row>
    <row r="12" spans="1:21" ht="15.6">
      <c r="A12" s="73">
        <v>1.5</v>
      </c>
      <c r="B12" s="74">
        <v>0.96609999999999996</v>
      </c>
      <c r="C12" s="62"/>
      <c r="D12" s="62"/>
      <c r="E12" s="62"/>
      <c r="F12" s="73">
        <f t="shared" si="0"/>
        <v>1.0199999999999987E-2</v>
      </c>
      <c r="G12" s="64">
        <f t="shared" si="1"/>
        <v>-2.6999999999999247E-3</v>
      </c>
      <c r="H12" s="74">
        <f t="shared" si="2"/>
        <v>4.9999999999983391E-4</v>
      </c>
      <c r="I12" s="62"/>
      <c r="J12" s="62"/>
      <c r="K12" s="62"/>
      <c r="L12" s="62"/>
      <c r="M12" s="63"/>
      <c r="N12" s="63"/>
      <c r="O12" s="63"/>
      <c r="P12" s="63"/>
      <c r="Q12" s="63"/>
      <c r="R12" s="63"/>
      <c r="S12" s="63"/>
      <c r="T12" s="63"/>
      <c r="U12" s="63"/>
    </row>
    <row r="13" spans="1:21" ht="15.6">
      <c r="A13" s="73">
        <v>1.6</v>
      </c>
      <c r="B13" s="74">
        <v>0.97629999999999995</v>
      </c>
      <c r="C13" s="62"/>
      <c r="D13" s="62"/>
      <c r="E13" s="62"/>
      <c r="F13" s="73">
        <f t="shared" si="0"/>
        <v>7.5000000000000622E-3</v>
      </c>
      <c r="G13" s="64">
        <f t="shared" si="1"/>
        <v>-2.2000000000000908E-3</v>
      </c>
      <c r="H13" s="74">
        <f t="shared" si="2"/>
        <v>6.0000000000015596E-4</v>
      </c>
      <c r="I13" s="62"/>
      <c r="J13" s="62"/>
      <c r="K13" s="62"/>
      <c r="L13" s="62"/>
      <c r="M13" s="63"/>
      <c r="N13" s="63"/>
      <c r="O13" s="63"/>
      <c r="P13" s="63"/>
      <c r="Q13" s="63"/>
      <c r="R13" s="63"/>
      <c r="S13" s="63"/>
      <c r="T13" s="63"/>
      <c r="U13" s="63"/>
    </row>
    <row r="14" spans="1:21" ht="15.6">
      <c r="A14" s="73">
        <v>1.7</v>
      </c>
      <c r="B14" s="74">
        <v>0.98380000000000001</v>
      </c>
      <c r="C14" s="62"/>
      <c r="D14" s="62"/>
      <c r="E14" s="62"/>
      <c r="F14" s="73">
        <f t="shared" si="0"/>
        <v>5.2999999999999714E-3</v>
      </c>
      <c r="G14" s="64">
        <f t="shared" si="1"/>
        <v>-1.5999999999999348E-3</v>
      </c>
      <c r="H14" s="74">
        <f t="shared" si="2"/>
        <v>3.9999999999984492E-4</v>
      </c>
      <c r="I14" s="62"/>
      <c r="J14" s="62"/>
      <c r="K14" s="62"/>
      <c r="L14" s="62"/>
      <c r="M14" s="63"/>
      <c r="N14" s="63"/>
      <c r="O14" s="63"/>
      <c r="P14" s="63"/>
      <c r="Q14" s="63"/>
      <c r="R14" s="63"/>
      <c r="S14" s="63"/>
      <c r="T14" s="63"/>
      <c r="U14" s="63"/>
    </row>
    <row r="15" spans="1:21" ht="15.6">
      <c r="A15" s="73">
        <v>1.8</v>
      </c>
      <c r="B15" s="74">
        <v>0.98909999999999998</v>
      </c>
      <c r="C15" s="62"/>
      <c r="D15" s="62"/>
      <c r="E15" s="62"/>
      <c r="F15" s="73">
        <f t="shared" si="0"/>
        <v>3.7000000000000366E-3</v>
      </c>
      <c r="G15" s="64">
        <f t="shared" si="1"/>
        <v>-1.2000000000000899E-3</v>
      </c>
      <c r="H15" s="77" t="s">
        <v>48</v>
      </c>
      <c r="I15" s="62"/>
      <c r="J15" s="62"/>
      <c r="K15" s="62"/>
      <c r="L15" s="62"/>
      <c r="M15" s="63"/>
      <c r="N15" s="63"/>
      <c r="O15" s="63"/>
      <c r="P15" s="63"/>
      <c r="Q15" s="63"/>
      <c r="R15" s="63"/>
      <c r="S15" s="63"/>
      <c r="T15" s="63"/>
      <c r="U15" s="63"/>
    </row>
    <row r="16" spans="1:21" ht="15.6">
      <c r="A16" s="73">
        <v>1.9</v>
      </c>
      <c r="B16" s="74">
        <v>0.99280000000000002</v>
      </c>
      <c r="C16" s="62"/>
      <c r="D16" s="62"/>
      <c r="E16" s="62"/>
      <c r="F16" s="75">
        <f t="shared" si="0"/>
        <v>2.4999999999999467E-3</v>
      </c>
      <c r="G16" s="78" t="s">
        <v>48</v>
      </c>
      <c r="H16" s="79" t="s">
        <v>48</v>
      </c>
      <c r="I16" s="62"/>
      <c r="J16" s="62"/>
      <c r="K16" s="62"/>
      <c r="L16" s="62"/>
      <c r="M16" s="63"/>
      <c r="N16" s="63"/>
      <c r="O16" s="63"/>
      <c r="P16" s="63"/>
      <c r="Q16" s="63"/>
      <c r="R16" s="63"/>
      <c r="S16" s="63"/>
      <c r="T16" s="63"/>
      <c r="U16" s="63"/>
    </row>
    <row r="17" spans="1:22" ht="15.6">
      <c r="A17" s="75">
        <v>2</v>
      </c>
      <c r="B17" s="76">
        <v>0.99529999999999996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/>
      <c r="N17" s="63"/>
      <c r="O17" s="63"/>
      <c r="P17" s="63"/>
      <c r="Q17" s="63"/>
      <c r="R17" s="63"/>
      <c r="S17" s="63"/>
      <c r="T17" s="63"/>
      <c r="U17" s="63"/>
    </row>
    <row r="18" spans="1:22" ht="15.6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  <c r="N18" s="63"/>
      <c r="O18" s="63"/>
      <c r="P18" s="63"/>
      <c r="Q18" s="63"/>
      <c r="R18" s="63"/>
      <c r="S18" s="63"/>
      <c r="T18" s="63"/>
      <c r="U18" s="63"/>
    </row>
    <row r="19" spans="1:22" ht="15.6">
      <c r="A19" s="80" t="s">
        <v>67</v>
      </c>
      <c r="B19" s="81">
        <f>A11</f>
        <v>1.4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3"/>
      <c r="N19" s="63"/>
      <c r="O19" s="63"/>
      <c r="P19" s="63"/>
      <c r="Q19" s="63"/>
      <c r="R19" s="63"/>
      <c r="S19" s="63"/>
      <c r="T19" s="63"/>
      <c r="U19" s="63"/>
    </row>
    <row r="20" spans="1:22" ht="15.6">
      <c r="A20" s="80" t="s">
        <v>68</v>
      </c>
      <c r="B20" s="81">
        <f>A8-A7</f>
        <v>0.10000000000000009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3"/>
      <c r="S20" s="63"/>
      <c r="T20" s="63"/>
      <c r="U20" s="63"/>
    </row>
    <row r="21" spans="1:22" ht="15.6">
      <c r="A21" s="80" t="s">
        <v>69</v>
      </c>
      <c r="B21" s="81">
        <f>(1.43-B19)/B20</f>
        <v>0.3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3"/>
      <c r="N21" s="63"/>
      <c r="O21" s="63"/>
      <c r="P21" s="63"/>
      <c r="Q21" s="63"/>
      <c r="R21" s="63"/>
      <c r="S21" s="63"/>
      <c r="T21" s="63"/>
      <c r="U21" s="63"/>
    </row>
    <row r="22" spans="1:22" ht="15.6">
      <c r="A22" s="82"/>
      <c r="B22" s="82"/>
      <c r="C22" s="62"/>
      <c r="D22" s="62"/>
      <c r="E22" s="62"/>
      <c r="F22" s="62"/>
      <c r="G22" s="62"/>
      <c r="I22" s="62"/>
      <c r="J22" s="62"/>
      <c r="K22" s="62"/>
      <c r="L22" s="62"/>
      <c r="M22" s="63"/>
      <c r="N22" s="63"/>
      <c r="O22" s="63"/>
      <c r="P22" s="63"/>
      <c r="Q22" s="63"/>
      <c r="R22" s="63"/>
      <c r="S22" s="63"/>
      <c r="T22" s="63"/>
      <c r="U22" s="63"/>
    </row>
    <row r="23" spans="1:22" ht="15.6">
      <c r="A23" s="83" t="s">
        <v>70</v>
      </c>
      <c r="B23" s="84">
        <f>B11+B21*F11+(B21*(B21-1)/FACT(2))*G11+((B21*(B21-1)*(B21-2))/FACT(3))*H11</f>
        <v>0.9568715499999999</v>
      </c>
      <c r="C23" s="66"/>
      <c r="D23" s="62"/>
      <c r="E23" s="62"/>
      <c r="F23" s="62"/>
      <c r="G23" s="62"/>
      <c r="I23" s="62"/>
      <c r="J23" s="62"/>
      <c r="K23" s="62"/>
      <c r="L23" s="62"/>
      <c r="M23" s="63"/>
      <c r="N23" s="63"/>
      <c r="O23" s="63"/>
      <c r="P23" s="63"/>
      <c r="Q23" s="63"/>
      <c r="R23" s="63"/>
      <c r="S23" s="63"/>
      <c r="T23" s="63"/>
      <c r="U23" s="63"/>
    </row>
    <row r="24" spans="1:22" ht="15.6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  <c r="Q24" s="63"/>
      <c r="R24" s="63"/>
      <c r="S24" s="63"/>
      <c r="T24" s="63"/>
      <c r="U24" s="63"/>
    </row>
    <row r="25" spans="1:22" ht="15.6">
      <c r="A25" s="62"/>
      <c r="B25" s="62"/>
      <c r="C25" s="62"/>
      <c r="D25" s="62"/>
      <c r="E25" s="62"/>
      <c r="F25" s="62"/>
      <c r="G25" s="62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</row>
    <row r="26" spans="1:22" ht="15.6">
      <c r="A26" s="62"/>
      <c r="B26" s="62"/>
      <c r="C26" s="62"/>
      <c r="D26" s="62"/>
      <c r="E26" s="62"/>
      <c r="F26" s="62"/>
      <c r="G26" s="62"/>
      <c r="J26" s="62"/>
      <c r="K26" s="62"/>
      <c r="L26" s="62"/>
      <c r="M26" s="62"/>
      <c r="N26" s="62"/>
      <c r="O26" s="62"/>
      <c r="P26" s="63"/>
      <c r="Q26" s="63"/>
      <c r="R26" s="63"/>
      <c r="S26" s="63"/>
      <c r="T26" s="63"/>
      <c r="U26" s="63"/>
    </row>
    <row r="27" spans="1:22" ht="15.6" customHeight="1">
      <c r="A27" s="70" t="s">
        <v>71</v>
      </c>
      <c r="J27" s="62"/>
      <c r="K27" s="62"/>
      <c r="L27" s="62"/>
      <c r="M27" s="62"/>
      <c r="N27" s="62"/>
      <c r="O27" s="62"/>
      <c r="P27" s="63"/>
      <c r="Q27" s="63"/>
      <c r="R27" s="63"/>
      <c r="S27" s="63"/>
      <c r="T27" s="63"/>
      <c r="U27" s="63"/>
    </row>
    <row r="28" spans="1:22" ht="16.2" customHeight="1">
      <c r="J28" s="62"/>
      <c r="K28" s="62"/>
      <c r="L28" s="62"/>
      <c r="M28" s="62"/>
      <c r="N28" s="62"/>
      <c r="O28" s="62"/>
      <c r="P28" s="63"/>
      <c r="Q28" s="63"/>
      <c r="R28" s="63"/>
      <c r="S28" s="63"/>
      <c r="T28" s="63"/>
      <c r="U28" s="63"/>
    </row>
    <row r="29" spans="1:22" ht="15.6">
      <c r="A29" s="85" t="s">
        <v>72</v>
      </c>
      <c r="B29" s="62"/>
      <c r="C29" s="62"/>
      <c r="D29" s="62"/>
      <c r="E29" s="62"/>
      <c r="F29" s="62"/>
      <c r="G29" s="62"/>
      <c r="J29" s="66"/>
      <c r="K29" s="62"/>
      <c r="L29" s="62"/>
      <c r="M29" s="62"/>
      <c r="N29" s="62"/>
      <c r="O29" s="62"/>
      <c r="P29" s="63"/>
      <c r="Q29" s="63"/>
      <c r="R29" s="63"/>
      <c r="S29" s="63"/>
      <c r="T29" s="63"/>
      <c r="U29" s="63"/>
    </row>
    <row r="30" spans="1:22" ht="15.6">
      <c r="H30" s="62"/>
      <c r="I30" s="63"/>
      <c r="J30" s="63"/>
      <c r="K30" s="63"/>
      <c r="L30" s="63"/>
      <c r="M30" s="63"/>
      <c r="N30" s="63"/>
      <c r="S30" s="63"/>
      <c r="T30" s="63"/>
      <c r="U30" s="63"/>
    </row>
    <row r="31" spans="1:22" ht="15.6">
      <c r="A31" s="87" t="s">
        <v>0</v>
      </c>
      <c r="C31" s="62"/>
      <c r="E31" s="87" t="s">
        <v>63</v>
      </c>
      <c r="F31" s="62"/>
      <c r="H31" s="62"/>
      <c r="I31" s="63" t="s">
        <v>73</v>
      </c>
      <c r="J31" s="63"/>
      <c r="K31" s="63"/>
      <c r="L31" s="63"/>
      <c r="M31" s="63"/>
      <c r="N31" s="63"/>
      <c r="O31" s="63"/>
      <c r="S31" s="63"/>
      <c r="T31" s="63"/>
      <c r="U31" s="63"/>
      <c r="V31" s="63"/>
    </row>
    <row r="32" spans="1:22" ht="15.6">
      <c r="A32" t="s">
        <v>2</v>
      </c>
      <c r="B32" t="s">
        <v>3</v>
      </c>
      <c r="E32" t="s">
        <v>64</v>
      </c>
      <c r="F32" t="s">
        <v>65</v>
      </c>
      <c r="H32" s="62"/>
      <c r="K32" s="62"/>
      <c r="L32" s="62"/>
      <c r="M32" s="62"/>
      <c r="N32" s="62"/>
      <c r="O32" s="62"/>
      <c r="S32" s="62"/>
      <c r="T32" s="62"/>
      <c r="U32" s="62"/>
      <c r="V32" s="62"/>
    </row>
    <row r="33" spans="1:24" ht="15.6">
      <c r="A33" s="72">
        <v>0</v>
      </c>
      <c r="B33" s="74">
        <v>5.2</v>
      </c>
      <c r="C33" s="62"/>
      <c r="E33" s="73">
        <f>(B34-B33)</f>
        <v>2.8</v>
      </c>
      <c r="F33" s="74">
        <f>(E34-E33)</f>
        <v>-0.39999999999999947</v>
      </c>
      <c r="H33" s="62"/>
      <c r="K33" s="62"/>
      <c r="L33" s="62"/>
      <c r="M33" s="62"/>
      <c r="N33" s="62"/>
      <c r="O33" s="62"/>
      <c r="P33" s="63"/>
      <c r="Q33" s="63"/>
      <c r="S33" s="62"/>
      <c r="T33" s="62"/>
      <c r="U33" s="62"/>
      <c r="V33" s="62"/>
      <c r="W33" s="63"/>
      <c r="X33" s="63"/>
    </row>
    <row r="34" spans="1:24" ht="15.6">
      <c r="A34" s="72">
        <v>1</v>
      </c>
      <c r="B34" s="74">
        <v>8</v>
      </c>
      <c r="C34" s="62"/>
      <c r="E34" s="73">
        <f>(B35-B34)</f>
        <v>2.4000000000000004</v>
      </c>
      <c r="F34" s="74">
        <f>(E35-E34)</f>
        <v>-0.40000000000000036</v>
      </c>
      <c r="H34" s="63"/>
      <c r="K34" s="62"/>
      <c r="L34" s="62"/>
      <c r="M34" s="62"/>
      <c r="N34" s="62"/>
      <c r="O34" s="62"/>
      <c r="P34" s="63"/>
      <c r="Q34" s="63"/>
      <c r="S34" s="62"/>
      <c r="T34" s="62"/>
      <c r="U34" s="62"/>
      <c r="V34" s="62"/>
      <c r="W34" s="63"/>
      <c r="X34" s="63"/>
    </row>
    <row r="35" spans="1:24" ht="15.6">
      <c r="A35" s="72">
        <v>2</v>
      </c>
      <c r="B35" s="74">
        <v>10.4</v>
      </c>
      <c r="C35" s="62"/>
      <c r="E35" s="73">
        <f>(B36-B35)</f>
        <v>2</v>
      </c>
      <c r="F35" s="74">
        <f>(E36-E35)</f>
        <v>-0.40000000000000036</v>
      </c>
      <c r="H35" s="63"/>
      <c r="K35" s="66"/>
      <c r="L35" s="62"/>
      <c r="M35" s="62"/>
      <c r="N35" s="62"/>
      <c r="O35" s="62"/>
      <c r="P35" s="63"/>
      <c r="Q35" s="63"/>
      <c r="S35" s="62"/>
      <c r="T35" s="62"/>
      <c r="U35" s="62"/>
      <c r="V35" s="62"/>
      <c r="W35" s="63"/>
      <c r="X35" s="63"/>
    </row>
    <row r="36" spans="1:24" ht="15.6">
      <c r="A36" s="73">
        <v>3</v>
      </c>
      <c r="B36" s="74">
        <v>12.4</v>
      </c>
      <c r="C36" s="62"/>
      <c r="E36" s="73">
        <f>(B37-B36)</f>
        <v>1.5999999999999996</v>
      </c>
      <c r="F36" s="74">
        <f>(E37-E36)</f>
        <v>-0.40000000000000036</v>
      </c>
      <c r="H36" s="63"/>
      <c r="I36" s="62"/>
      <c r="J36" s="62"/>
      <c r="K36" s="62"/>
      <c r="L36" s="62"/>
      <c r="M36" s="62"/>
      <c r="N36" s="62"/>
      <c r="O36" s="62"/>
      <c r="P36" s="63"/>
      <c r="Q36" s="63"/>
      <c r="S36" s="62"/>
      <c r="T36" s="62"/>
      <c r="U36" s="62"/>
      <c r="V36" s="62"/>
      <c r="W36" s="63"/>
      <c r="X36" s="63"/>
    </row>
    <row r="37" spans="1:24" ht="15.6">
      <c r="A37" s="73">
        <v>4</v>
      </c>
      <c r="B37" s="74">
        <v>14</v>
      </c>
      <c r="C37" s="62"/>
      <c r="E37" s="75">
        <f>(B38-B37)</f>
        <v>1.1999999999999993</v>
      </c>
      <c r="F37" s="76"/>
      <c r="H37" s="63"/>
      <c r="I37" s="62"/>
      <c r="J37" s="62"/>
      <c r="K37" s="62"/>
      <c r="L37" s="62"/>
      <c r="M37" s="62"/>
      <c r="N37" s="62"/>
      <c r="O37" s="62"/>
      <c r="P37" s="63"/>
      <c r="Q37" s="63"/>
      <c r="S37" s="62"/>
      <c r="T37" s="62"/>
      <c r="U37" s="62"/>
      <c r="V37" s="62"/>
      <c r="W37" s="63"/>
      <c r="X37" s="63"/>
    </row>
    <row r="38" spans="1:24" ht="15.6">
      <c r="A38" s="75">
        <v>5</v>
      </c>
      <c r="B38" s="76">
        <v>15.2</v>
      </c>
      <c r="C38" s="62"/>
      <c r="D38" s="62"/>
      <c r="E38" s="62"/>
      <c r="G38" s="62"/>
      <c r="H38" s="63"/>
      <c r="I38" s="62"/>
      <c r="J38" s="62"/>
      <c r="K38" s="62"/>
      <c r="L38" s="62"/>
      <c r="M38" s="62"/>
      <c r="N38" s="62"/>
      <c r="O38" s="62"/>
      <c r="P38" s="63"/>
      <c r="Q38" s="63"/>
      <c r="S38" s="62"/>
      <c r="T38" s="62"/>
      <c r="U38" s="62"/>
      <c r="V38" s="62"/>
      <c r="W38" s="63"/>
      <c r="X38" s="63"/>
    </row>
    <row r="39" spans="1:24" ht="15.6">
      <c r="A39" s="62"/>
      <c r="B39" s="62"/>
      <c r="C39" s="62"/>
      <c r="D39" s="62"/>
      <c r="E39" s="62"/>
      <c r="G39" s="62"/>
      <c r="H39" s="63"/>
      <c r="I39" s="62"/>
      <c r="J39" s="62"/>
      <c r="K39" s="62"/>
      <c r="L39" s="62"/>
      <c r="M39" s="62"/>
      <c r="N39" s="62"/>
      <c r="O39" s="62"/>
      <c r="P39" s="63"/>
      <c r="Q39" s="63"/>
      <c r="S39" s="62"/>
      <c r="T39" s="62"/>
      <c r="U39" s="62"/>
      <c r="V39" s="62"/>
      <c r="W39" s="63"/>
      <c r="X39" s="63"/>
    </row>
    <row r="40" spans="1:24" ht="15.6">
      <c r="A40" s="65" t="s">
        <v>68</v>
      </c>
      <c r="B40" s="67">
        <f>A34-A33</f>
        <v>1</v>
      </c>
      <c r="C40" s="62"/>
      <c r="D40" s="62"/>
      <c r="E40" s="62"/>
      <c r="G40" s="62"/>
      <c r="H40" s="63"/>
      <c r="I40" s="62"/>
      <c r="J40" s="63"/>
      <c r="K40" s="63"/>
      <c r="L40" s="63"/>
      <c r="M40" s="63"/>
      <c r="N40" s="63"/>
      <c r="O40" s="63"/>
      <c r="P40" s="63"/>
      <c r="Q40" s="63"/>
      <c r="S40" s="63"/>
      <c r="T40" s="63"/>
      <c r="U40" s="63"/>
      <c r="V40" s="63"/>
      <c r="W40" s="63"/>
      <c r="X40" s="63"/>
    </row>
    <row r="41" spans="1:24" ht="15.6">
      <c r="A41" s="68"/>
      <c r="B41" s="69"/>
      <c r="C41" s="62"/>
      <c r="D41" s="62"/>
      <c r="E41" s="62"/>
      <c r="G41" s="62"/>
      <c r="H41" s="63"/>
      <c r="I41" s="62"/>
      <c r="J41" s="63"/>
      <c r="K41" s="63"/>
      <c r="L41" s="63"/>
      <c r="M41" s="63"/>
      <c r="N41" s="63"/>
      <c r="O41" s="63"/>
      <c r="P41" s="63"/>
      <c r="Q41" s="63"/>
      <c r="S41" s="63"/>
      <c r="T41" s="63"/>
      <c r="U41" s="63"/>
      <c r="V41" s="63"/>
      <c r="W41" s="63"/>
      <c r="X41" s="63"/>
    </row>
    <row r="42" spans="1:24" ht="15.6">
      <c r="C42" s="62"/>
      <c r="D42" s="62"/>
      <c r="E42" s="62"/>
      <c r="G42" s="62"/>
      <c r="H42" s="63"/>
      <c r="I42" s="62"/>
      <c r="J42" s="62"/>
      <c r="K42" s="63"/>
      <c r="L42" s="63"/>
      <c r="M42" s="63"/>
      <c r="N42" s="63"/>
      <c r="O42" s="63"/>
      <c r="P42" s="63"/>
      <c r="Q42" s="63"/>
      <c r="S42" s="63"/>
      <c r="T42" s="63"/>
      <c r="U42" s="63"/>
      <c r="V42" s="63"/>
      <c r="W42" s="63"/>
      <c r="X42" s="63"/>
    </row>
    <row r="43" spans="1:24" ht="15.6">
      <c r="A43" s="68"/>
      <c r="B43" s="69"/>
      <c r="C43" s="62"/>
      <c r="D43" s="62"/>
      <c r="E43" s="62"/>
      <c r="F43" s="62"/>
      <c r="G43" s="62"/>
      <c r="H43" s="63"/>
      <c r="I43" s="62"/>
      <c r="J43" s="63"/>
      <c r="K43" s="63"/>
      <c r="L43" s="63"/>
      <c r="M43" s="63"/>
      <c r="N43" s="63"/>
      <c r="O43" s="63"/>
      <c r="S43" s="63"/>
      <c r="T43" s="63"/>
      <c r="U43" s="63"/>
      <c r="V43" s="63"/>
    </row>
    <row r="44" spans="1:24" ht="15.6">
      <c r="A44" s="62"/>
      <c r="B44" s="62"/>
      <c r="C44" s="62"/>
      <c r="D44" s="62"/>
      <c r="E44" s="62"/>
      <c r="F44" s="62"/>
      <c r="G44" s="62"/>
      <c r="H44" s="63"/>
      <c r="I44" s="62"/>
      <c r="J44" s="63"/>
      <c r="K44" s="63"/>
      <c r="L44" s="63"/>
      <c r="M44" s="63"/>
      <c r="N44" s="63"/>
      <c r="O44" s="63"/>
      <c r="S44" s="63"/>
      <c r="T44" s="63"/>
      <c r="U44" s="63"/>
      <c r="V44" s="63"/>
    </row>
    <row r="45" spans="1:24" ht="15.6">
      <c r="A45" s="62"/>
      <c r="B45" s="62"/>
      <c r="C45" s="62"/>
      <c r="D45" s="62"/>
      <c r="E45" s="62"/>
      <c r="F45" s="62"/>
      <c r="G45" s="62"/>
      <c r="H45" s="63"/>
      <c r="I45" s="62"/>
      <c r="J45" s="63"/>
      <c r="K45" s="63"/>
      <c r="L45" s="63"/>
      <c r="M45" s="63"/>
      <c r="N45" s="63"/>
      <c r="O45" s="63"/>
      <c r="S45" s="63"/>
      <c r="T45" s="63"/>
      <c r="U45" s="63"/>
      <c r="V45" s="63"/>
    </row>
    <row r="46" spans="1:24" ht="15.6">
      <c r="C46" s="62"/>
      <c r="D46" s="62"/>
      <c r="E46" s="62"/>
      <c r="F46" s="62"/>
      <c r="G46" s="62"/>
      <c r="H46" s="63"/>
      <c r="I46" s="62"/>
      <c r="J46" s="63"/>
      <c r="K46" s="63"/>
      <c r="L46" s="63"/>
      <c r="M46" s="63"/>
      <c r="N46" s="63"/>
      <c r="O46" s="63"/>
      <c r="S46" s="63"/>
      <c r="T46" s="63"/>
      <c r="U46" s="63"/>
      <c r="V46" s="63"/>
    </row>
    <row r="47" spans="1:24" ht="15.6">
      <c r="C47" s="62"/>
      <c r="D47" s="62"/>
      <c r="E47" s="62"/>
      <c r="F47" s="62"/>
      <c r="G47" s="62"/>
      <c r="H47" s="63"/>
      <c r="I47" s="62"/>
      <c r="J47" s="63"/>
      <c r="K47" s="63"/>
      <c r="L47" s="63"/>
      <c r="M47" s="63"/>
      <c r="N47" s="63"/>
      <c r="O47" s="63"/>
      <c r="S47" s="63"/>
      <c r="T47" s="63"/>
      <c r="U47" s="63"/>
      <c r="V47" s="63"/>
    </row>
    <row r="48" spans="1:24" ht="15.6">
      <c r="C48" s="62"/>
      <c r="D48" s="62"/>
      <c r="E48" s="62"/>
      <c r="F48" s="62"/>
      <c r="G48" s="62"/>
      <c r="H48" s="63"/>
      <c r="I48" s="63"/>
      <c r="J48" s="63"/>
      <c r="K48" s="63"/>
      <c r="L48" s="63"/>
      <c r="M48" s="63"/>
      <c r="N48" s="63"/>
      <c r="S48" s="63"/>
      <c r="T48" s="63"/>
      <c r="U48" s="63"/>
    </row>
    <row r="49" spans="1:21" ht="15.6">
      <c r="C49" s="66"/>
      <c r="D49" s="62"/>
      <c r="E49" s="62"/>
      <c r="F49" s="62"/>
      <c r="G49" s="62"/>
      <c r="H49" s="62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</row>
    <row r="50" spans="1:21" ht="15.6">
      <c r="A50" s="62"/>
      <c r="B50" s="62"/>
      <c r="C50" s="62"/>
      <c r="D50" s="62"/>
      <c r="E50" s="62"/>
      <c r="F50" s="62"/>
      <c r="G50" s="62"/>
      <c r="H50" s="62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</row>
    <row r="51" spans="1:21" ht="15.6">
      <c r="A51" s="62"/>
      <c r="B51" s="62"/>
      <c r="C51" s="62"/>
      <c r="D51" s="62"/>
      <c r="E51" s="62"/>
      <c r="F51" s="62"/>
      <c r="G51" s="62"/>
      <c r="H51" s="62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</row>
    <row r="52" spans="1:21" ht="15.6">
      <c r="A52" s="62"/>
      <c r="B52" s="62"/>
      <c r="C52" s="62"/>
      <c r="D52" s="62"/>
      <c r="E52" s="62"/>
      <c r="F52" s="62"/>
      <c r="G52" s="62"/>
      <c r="H52" s="62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</row>
    <row r="53" spans="1:21" ht="15.6">
      <c r="A53" s="62"/>
      <c r="B53" s="62"/>
      <c r="C53" s="62"/>
      <c r="D53" s="62"/>
      <c r="E53" s="62"/>
      <c r="F53" s="62"/>
      <c r="G53" s="62"/>
      <c r="H53" s="62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</row>
    <row r="54" spans="1:21" ht="15.6">
      <c r="A54" s="62"/>
      <c r="B54" s="62"/>
      <c r="C54" s="62"/>
      <c r="D54" s="62"/>
      <c r="E54" s="62"/>
      <c r="F54" s="62"/>
      <c r="G54" s="62"/>
      <c r="H54" s="62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</row>
    <row r="55" spans="1:21" ht="15.6">
      <c r="A55" s="62"/>
      <c r="B55" s="62"/>
      <c r="C55" s="62"/>
      <c r="D55" s="62"/>
      <c r="E55" s="62"/>
      <c r="F55" s="62"/>
      <c r="G55" s="62"/>
      <c r="H55" s="62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</row>
    <row r="56" spans="1:21" ht="15.6">
      <c r="A56" s="62"/>
      <c r="B56" s="62"/>
      <c r="C56" s="62"/>
      <c r="D56" s="62"/>
      <c r="E56" s="62"/>
      <c r="F56" s="62"/>
      <c r="G56" s="62"/>
      <c r="H56" s="62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</row>
    <row r="57" spans="1:2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</row>
    <row r="58" spans="1:2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</row>
    <row r="59" spans="1:2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</row>
    <row r="60" spans="1:2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</row>
    <row r="61" spans="1:2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</row>
    <row r="62" spans="1:2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</row>
    <row r="63" spans="1:2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</row>
    <row r="64" spans="1:2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</row>
    <row r="65" spans="1:2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</row>
    <row r="66" spans="1:2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</row>
    <row r="67" spans="1:2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</row>
    <row r="68" spans="1:2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</row>
    <row r="69" spans="1:2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</row>
    <row r="70" spans="1:21">
      <c r="A70" s="63"/>
      <c r="B70" s="63"/>
      <c r="C70" s="63"/>
      <c r="D70" s="63"/>
      <c r="E70" s="63"/>
      <c r="F70" s="63"/>
      <c r="G70" s="63"/>
      <c r="H70" s="63"/>
    </row>
    <row r="71" spans="1:21">
      <c r="A71" s="63"/>
      <c r="B71" s="63"/>
      <c r="C71" s="63"/>
      <c r="D71" s="63"/>
      <c r="E71" s="63"/>
      <c r="F71" s="63"/>
      <c r="G71" s="63"/>
      <c r="H71" s="63"/>
    </row>
    <row r="72" spans="1:21">
      <c r="A72" s="63"/>
      <c r="B72" s="63"/>
      <c r="C72" s="63"/>
      <c r="D72" s="63"/>
      <c r="E72" s="63"/>
      <c r="F72" s="63"/>
      <c r="G72" s="63"/>
      <c r="H72" s="63"/>
    </row>
    <row r="73" spans="1:21">
      <c r="A73" s="63"/>
      <c r="B73" s="63"/>
      <c r="C73" s="63"/>
      <c r="D73" s="63"/>
      <c r="E73" s="63"/>
      <c r="F73" s="63"/>
      <c r="G73" s="63"/>
      <c r="H73" s="63"/>
    </row>
    <row r="74" spans="1:21">
      <c r="A74" s="63"/>
      <c r="B74" s="63"/>
      <c r="C74" s="63"/>
      <c r="D74" s="63"/>
      <c r="E74" s="63"/>
      <c r="F74" s="63"/>
      <c r="G74" s="63"/>
      <c r="H74" s="63"/>
    </row>
    <row r="75" spans="1:21">
      <c r="A75" s="63"/>
      <c r="B75" s="63"/>
      <c r="C75" s="63"/>
      <c r="D75" s="63"/>
      <c r="E75" s="63"/>
      <c r="F75" s="63"/>
      <c r="G75" s="63"/>
      <c r="H75" s="63"/>
    </row>
    <row r="76" spans="1:21">
      <c r="A76" s="63"/>
      <c r="B76" s="63"/>
      <c r="C76" s="63"/>
      <c r="D76" s="63"/>
      <c r="E76" s="63"/>
      <c r="F76" s="63"/>
      <c r="G76" s="63"/>
      <c r="H76" s="63"/>
    </row>
    <row r="77" spans="1:21">
      <c r="A77" s="63"/>
      <c r="B77" s="63"/>
      <c r="C77" s="63"/>
      <c r="D77" s="63"/>
      <c r="E77" s="63"/>
      <c r="F77" s="63"/>
      <c r="G77" s="63"/>
      <c r="H77" s="63"/>
    </row>
    <row r="78" spans="1:21">
      <c r="A78" s="63"/>
      <c r="B78" s="63"/>
      <c r="C78" s="63"/>
      <c r="D78" s="63"/>
      <c r="E78" s="63"/>
      <c r="F78" s="63"/>
      <c r="G78" s="63"/>
      <c r="H78" s="63"/>
    </row>
    <row r="79" spans="1:21">
      <c r="A79" s="63"/>
      <c r="B79" s="63"/>
      <c r="C79" s="63"/>
      <c r="D79" s="63"/>
      <c r="E79" s="63"/>
      <c r="F79" s="63"/>
      <c r="G79" s="63"/>
      <c r="H79" s="63"/>
    </row>
    <row r="80" spans="1:21">
      <c r="A80" s="63"/>
      <c r="B80" s="63"/>
      <c r="C80" s="63"/>
      <c r="D80" s="63"/>
      <c r="E80" s="63"/>
      <c r="F80" s="63"/>
      <c r="G80" s="63"/>
      <c r="H80" s="63"/>
    </row>
    <row r="81" spans="1:8">
      <c r="A81" s="63"/>
      <c r="B81" s="63"/>
      <c r="C81" s="63"/>
      <c r="D81" s="63"/>
      <c r="E81" s="63"/>
      <c r="F81" s="63"/>
      <c r="G81" s="63"/>
      <c r="H81" s="63"/>
    </row>
    <row r="82" spans="1:8">
      <c r="A82" s="63"/>
      <c r="B82" s="63"/>
      <c r="C82" s="63"/>
      <c r="D82" s="63"/>
      <c r="E82" s="63"/>
      <c r="F82" s="63"/>
      <c r="G82" s="63"/>
      <c r="H82" s="63"/>
    </row>
    <row r="83" spans="1:8">
      <c r="A83" s="63"/>
      <c r="B83" s="63"/>
      <c r="C83" s="63"/>
      <c r="D83" s="63"/>
      <c r="E83" s="63"/>
      <c r="F83" s="63"/>
      <c r="G83" s="63"/>
      <c r="H83" s="63"/>
    </row>
    <row r="84" spans="1:8">
      <c r="A84" s="63"/>
      <c r="B84" s="63"/>
      <c r="C84" s="63"/>
      <c r="D84" s="63"/>
      <c r="E84" s="63"/>
      <c r="F84" s="63"/>
      <c r="G84" s="63"/>
      <c r="H84" s="63"/>
    </row>
    <row r="85" spans="1:8">
      <c r="A85" s="63"/>
      <c r="B85" s="63"/>
      <c r="C85" s="63"/>
      <c r="D85" s="63"/>
      <c r="E85" s="63"/>
      <c r="F85" s="63"/>
      <c r="G85" s="63"/>
      <c r="H85" s="63"/>
    </row>
    <row r="86" spans="1:8">
      <c r="A86" s="63"/>
      <c r="B86" s="63"/>
      <c r="C86" s="63"/>
      <c r="D86" s="63"/>
      <c r="E86" s="63"/>
      <c r="F86" s="63"/>
      <c r="G86" s="63"/>
      <c r="H86" s="63"/>
    </row>
    <row r="87" spans="1:8">
      <c r="A87" s="63"/>
      <c r="B87" s="63"/>
      <c r="C87" s="63"/>
      <c r="D87" s="63"/>
      <c r="E87" s="63"/>
      <c r="F87" s="63"/>
      <c r="G87" s="63"/>
      <c r="H87" s="63"/>
    </row>
    <row r="88" spans="1:8">
      <c r="A88" s="63"/>
      <c r="B88" s="63"/>
      <c r="C88" s="63"/>
      <c r="D88" s="63"/>
      <c r="E88" s="63"/>
      <c r="F88" s="63"/>
      <c r="G88" s="63"/>
      <c r="H88" s="63"/>
    </row>
    <row r="89" spans="1:8">
      <c r="A89" s="63"/>
      <c r="B89" s="63"/>
      <c r="C89" s="63"/>
      <c r="D89" s="63"/>
      <c r="E89" s="63"/>
      <c r="F89" s="63"/>
      <c r="G89" s="63"/>
      <c r="H89" s="63"/>
    </row>
    <row r="90" spans="1:8">
      <c r="A90" s="63"/>
      <c r="B90" s="63"/>
      <c r="C90" s="63"/>
      <c r="D90" s="63"/>
      <c r="E90" s="63"/>
      <c r="F90" s="63"/>
      <c r="G90" s="63"/>
      <c r="H90" s="63"/>
    </row>
    <row r="91" spans="1:8">
      <c r="A91" s="63"/>
      <c r="B91" s="63"/>
      <c r="C91" s="63"/>
      <c r="D91" s="63"/>
      <c r="E91" s="63"/>
      <c r="F91" s="63"/>
      <c r="G91" s="63"/>
      <c r="H91" s="63"/>
    </row>
    <row r="92" spans="1:8">
      <c r="A92" s="63"/>
      <c r="B92" s="63"/>
      <c r="C92" s="63"/>
      <c r="D92" s="63"/>
      <c r="E92" s="63"/>
      <c r="F92" s="63"/>
      <c r="G92" s="63"/>
      <c r="H92" s="63"/>
    </row>
  </sheetData>
  <mergeCells count="1">
    <mergeCell ref="A3:B3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84F3-B00F-4881-90AD-30796B813BFD}">
  <dimension ref="A1:V53"/>
  <sheetViews>
    <sheetView tabSelected="1" workbookViewId="0">
      <selection activeCell="P52" sqref="P52"/>
    </sheetView>
  </sheetViews>
  <sheetFormatPr defaultRowHeight="14.4"/>
  <cols>
    <col min="1" max="1" width="13.44140625" customWidth="1"/>
    <col min="2" max="2" width="12.88671875" customWidth="1"/>
    <col min="10" max="10" width="11" customWidth="1"/>
  </cols>
  <sheetData>
    <row r="1" spans="1:18" ht="16.5" customHeight="1">
      <c r="A1" s="114" t="s">
        <v>84</v>
      </c>
    </row>
    <row r="2" spans="1:18" ht="14.25" customHeight="1">
      <c r="A2" s="115" t="s">
        <v>83</v>
      </c>
    </row>
    <row r="3" spans="1:18" ht="21" customHeight="1">
      <c r="A3" t="s">
        <v>74</v>
      </c>
    </row>
    <row r="4" spans="1:18" ht="17.399999999999999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spans="1:18" ht="19.8">
      <c r="A5" s="130" t="s">
        <v>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</row>
    <row r="6" spans="1:18" ht="21" customHeight="1">
      <c r="A6" s="88" t="s">
        <v>2</v>
      </c>
      <c r="B6" s="88" t="s">
        <v>3</v>
      </c>
      <c r="C6" s="88"/>
      <c r="D6" s="88"/>
      <c r="E6" s="88"/>
      <c r="F6" s="88"/>
      <c r="G6" s="89"/>
      <c r="H6" s="89"/>
      <c r="I6" s="88"/>
      <c r="J6" s="88"/>
      <c r="K6" s="88"/>
      <c r="L6" s="88"/>
      <c r="M6" s="88"/>
      <c r="N6" s="88"/>
      <c r="O6" s="88"/>
      <c r="P6" s="88"/>
      <c r="Q6" s="90">
        <v>0</v>
      </c>
      <c r="R6" s="91">
        <v>0</v>
      </c>
    </row>
    <row r="7" spans="1:18" ht="16.5" customHeight="1">
      <c r="A7" s="116">
        <v>0</v>
      </c>
      <c r="B7" s="118">
        <v>0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90">
        <v>1</v>
      </c>
      <c r="R7" s="91">
        <v>2</v>
      </c>
    </row>
    <row r="8" spans="1:18" ht="18.75" customHeight="1">
      <c r="A8" s="116">
        <v>1</v>
      </c>
      <c r="B8" s="118">
        <v>2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90">
        <v>2</v>
      </c>
      <c r="R8" s="91">
        <v>5</v>
      </c>
    </row>
    <row r="9" spans="1:18" ht="16.5" customHeight="1">
      <c r="A9" s="116">
        <v>2</v>
      </c>
      <c r="B9" s="118">
        <v>5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90">
        <v>3</v>
      </c>
      <c r="R9" s="91">
        <v>10</v>
      </c>
    </row>
    <row r="10" spans="1:18" ht="17.25" customHeight="1">
      <c r="A10" s="116">
        <v>3</v>
      </c>
      <c r="B10" s="118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90">
        <v>4</v>
      </c>
      <c r="R10" s="91">
        <v>15</v>
      </c>
    </row>
    <row r="11" spans="1:18" ht="15" customHeight="1">
      <c r="A11" s="116">
        <v>4</v>
      </c>
      <c r="B11" s="118">
        <v>15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2">
        <v>4.3</v>
      </c>
      <c r="R11" s="2">
        <f>I36</f>
        <v>16.602504674999999</v>
      </c>
    </row>
    <row r="12" spans="1:18" ht="15.75" customHeight="1">
      <c r="A12" s="117">
        <v>5</v>
      </c>
      <c r="B12" s="100">
        <v>20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90">
        <v>5</v>
      </c>
      <c r="R12" s="91">
        <v>20</v>
      </c>
    </row>
    <row r="13" spans="1:18" ht="15.75" customHeight="1">
      <c r="A13" s="117">
        <v>6</v>
      </c>
      <c r="B13" s="100">
        <v>22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90">
        <v>6</v>
      </c>
      <c r="R13" s="91">
        <v>22</v>
      </c>
    </row>
    <row r="14" spans="1:18" ht="16.5" customHeight="1">
      <c r="A14" s="117">
        <v>7</v>
      </c>
      <c r="B14" s="100">
        <v>24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90">
        <v>7</v>
      </c>
      <c r="R14" s="91">
        <v>24</v>
      </c>
    </row>
    <row r="15" spans="1:18" ht="17.399999999999999">
      <c r="A15" s="93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</row>
    <row r="16" spans="1:18" ht="16.5" customHeight="1">
      <c r="A16" s="94" t="s">
        <v>67</v>
      </c>
      <c r="B16" s="95">
        <f>A11</f>
        <v>4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</row>
    <row r="17" spans="1:22" ht="17.399999999999999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</row>
    <row r="18" spans="1:22" ht="25.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7"/>
      <c r="R18" s="97"/>
      <c r="S18" s="97"/>
      <c r="T18" s="97"/>
    </row>
    <row r="19" spans="1:22" ht="22.5" customHeight="1">
      <c r="A19" s="87" t="s">
        <v>85</v>
      </c>
      <c r="B19" s="96"/>
      <c r="C19" s="96"/>
      <c r="D19" s="96"/>
      <c r="E19" s="96"/>
      <c r="F19" s="96"/>
      <c r="G19" s="88"/>
      <c r="H19" s="96"/>
      <c r="I19" s="96"/>
      <c r="J19" s="96"/>
      <c r="K19" s="96"/>
      <c r="L19" s="96"/>
      <c r="M19" s="96"/>
      <c r="N19" s="96"/>
      <c r="O19" s="98"/>
      <c r="P19" s="98"/>
      <c r="Q19" s="98"/>
      <c r="R19" s="98"/>
      <c r="S19" s="98"/>
      <c r="T19" s="97"/>
    </row>
    <row r="20" spans="1:22" ht="19.5" customHeight="1">
      <c r="A20" s="96" t="s">
        <v>1</v>
      </c>
      <c r="B20" s="96" t="s">
        <v>2</v>
      </c>
      <c r="C20" s="96" t="s">
        <v>3</v>
      </c>
      <c r="D20" s="96"/>
      <c r="E20" s="96"/>
      <c r="F20" s="96"/>
      <c r="G20" t="s">
        <v>75</v>
      </c>
      <c r="J20" s="96"/>
      <c r="K20" s="96"/>
      <c r="L20" s="96"/>
      <c r="M20" s="96"/>
      <c r="N20" s="96"/>
      <c r="O20" s="96"/>
      <c r="P20" s="96"/>
      <c r="Q20" s="97"/>
      <c r="R20" s="97"/>
      <c r="S20" s="97"/>
      <c r="T20" s="97"/>
    </row>
    <row r="21" spans="1:22" ht="18.75" customHeight="1">
      <c r="A21" s="119" t="s">
        <v>48</v>
      </c>
      <c r="B21" s="99" t="s">
        <v>48</v>
      </c>
      <c r="C21" s="121" t="s">
        <v>48</v>
      </c>
      <c r="D21" s="96"/>
      <c r="E21" s="96"/>
      <c r="F21" s="96"/>
      <c r="G21" s="96" t="s">
        <v>64</v>
      </c>
      <c r="H21" s="96" t="s">
        <v>65</v>
      </c>
      <c r="I21" s="96" t="s">
        <v>66</v>
      </c>
      <c r="J21" s="96" t="s">
        <v>76</v>
      </c>
      <c r="K21" s="96" t="s">
        <v>77</v>
      </c>
      <c r="L21" s="96" t="s">
        <v>78</v>
      </c>
      <c r="M21" s="96"/>
      <c r="N21" s="96"/>
      <c r="O21" s="100"/>
      <c r="P21" s="101"/>
      <c r="Q21" s="102"/>
      <c r="R21" s="102"/>
      <c r="S21" s="102"/>
      <c r="T21" s="102"/>
      <c r="U21" s="20"/>
      <c r="V21" s="10"/>
    </row>
    <row r="22" spans="1:22" ht="21.75" customHeight="1">
      <c r="A22" s="120">
        <v>-3</v>
      </c>
      <c r="B22" s="90">
        <v>1</v>
      </c>
      <c r="C22" s="118">
        <v>2</v>
      </c>
      <c r="D22" s="96"/>
      <c r="E22" s="96"/>
      <c r="F22" s="96">
        <v>-3</v>
      </c>
      <c r="G22" s="123">
        <f>(C23-C22)</f>
        <v>3</v>
      </c>
      <c r="H22" s="103">
        <f>(G23-G22)</f>
        <v>2</v>
      </c>
      <c r="I22" s="103">
        <f>H23-H22</f>
        <v>-2</v>
      </c>
      <c r="J22" s="103">
        <f>I23-I22</f>
        <v>2</v>
      </c>
      <c r="K22" s="103">
        <f>J23-J22</f>
        <v>-5</v>
      </c>
      <c r="L22" s="125">
        <f>K23-K22</f>
        <v>14</v>
      </c>
      <c r="M22" s="96"/>
      <c r="N22" s="96"/>
      <c r="O22" s="104"/>
      <c r="P22" s="96"/>
      <c r="Q22" s="97"/>
      <c r="R22" s="97"/>
      <c r="S22" s="97"/>
      <c r="T22" s="97"/>
      <c r="V22" s="14"/>
    </row>
    <row r="23" spans="1:22" ht="17.25" customHeight="1">
      <c r="A23" s="120">
        <v>-2</v>
      </c>
      <c r="B23" s="90">
        <v>2</v>
      </c>
      <c r="C23" s="118">
        <v>5</v>
      </c>
      <c r="D23" s="96"/>
      <c r="E23" s="96"/>
      <c r="F23" s="96">
        <v>-2</v>
      </c>
      <c r="G23" s="123">
        <f t="shared" ref="G23:G26" si="0">(C24-C23)</f>
        <v>5</v>
      </c>
      <c r="H23" s="103">
        <f>(G24-G23)</f>
        <v>0</v>
      </c>
      <c r="I23" s="103">
        <f>H24-H23</f>
        <v>0</v>
      </c>
      <c r="J23" s="103">
        <f>I24-I23</f>
        <v>-3</v>
      </c>
      <c r="K23" s="103">
        <f>J24-J23</f>
        <v>9</v>
      </c>
      <c r="L23" s="126" t="s">
        <v>48</v>
      </c>
      <c r="M23" s="96"/>
      <c r="N23" s="96"/>
      <c r="O23" s="104"/>
      <c r="P23" s="96"/>
      <c r="Q23" s="97"/>
      <c r="R23" s="97"/>
      <c r="S23" s="97"/>
      <c r="T23" s="97"/>
      <c r="V23" s="14"/>
    </row>
    <row r="24" spans="1:22" ht="20.25" customHeight="1">
      <c r="A24" s="120">
        <v>-1</v>
      </c>
      <c r="B24" s="90">
        <v>3</v>
      </c>
      <c r="C24" s="118">
        <v>10</v>
      </c>
      <c r="D24" s="96"/>
      <c r="E24" s="96"/>
      <c r="F24" s="96">
        <v>-1</v>
      </c>
      <c r="G24" s="123">
        <f t="shared" si="0"/>
        <v>5</v>
      </c>
      <c r="H24" s="103">
        <f>(G25-G24)</f>
        <v>0</v>
      </c>
      <c r="I24" s="103">
        <f>H25-H24</f>
        <v>-3</v>
      </c>
      <c r="J24" s="103">
        <f>I25-I24</f>
        <v>6</v>
      </c>
      <c r="K24" s="105" t="s">
        <v>48</v>
      </c>
      <c r="L24" s="126" t="s">
        <v>48</v>
      </c>
      <c r="M24" s="96"/>
      <c r="N24" s="96"/>
      <c r="O24" s="104"/>
      <c r="P24" s="96"/>
      <c r="Q24" s="97"/>
      <c r="R24" s="97"/>
      <c r="S24" s="97"/>
      <c r="T24" s="97"/>
      <c r="V24" s="14"/>
    </row>
    <row r="25" spans="1:22" ht="20.25" customHeight="1">
      <c r="A25" s="120">
        <v>0</v>
      </c>
      <c r="B25" s="90">
        <v>4</v>
      </c>
      <c r="C25" s="118">
        <v>15</v>
      </c>
      <c r="D25" s="96"/>
      <c r="E25" s="96"/>
      <c r="F25" s="96">
        <v>0</v>
      </c>
      <c r="G25" s="124">
        <f t="shared" si="0"/>
        <v>5</v>
      </c>
      <c r="H25" s="106">
        <f>(G26-G25)</f>
        <v>-3</v>
      </c>
      <c r="I25" s="106">
        <f>H26-H25</f>
        <v>3</v>
      </c>
      <c r="J25" s="105" t="s">
        <v>48</v>
      </c>
      <c r="K25" s="105" t="s">
        <v>48</v>
      </c>
      <c r="L25" s="126" t="s">
        <v>48</v>
      </c>
      <c r="M25" s="96"/>
      <c r="N25" s="96"/>
      <c r="O25" s="104"/>
      <c r="P25" s="96"/>
      <c r="Q25" s="97"/>
      <c r="R25" s="97"/>
      <c r="S25" s="97"/>
      <c r="T25" s="97"/>
      <c r="V25" s="14"/>
    </row>
    <row r="26" spans="1:22" ht="16.5" customHeight="1">
      <c r="A26" s="120">
        <v>1</v>
      </c>
      <c r="B26" s="90">
        <v>5</v>
      </c>
      <c r="C26" s="118">
        <v>20</v>
      </c>
      <c r="D26" s="96"/>
      <c r="E26" s="96"/>
      <c r="F26" s="96">
        <v>1</v>
      </c>
      <c r="G26" s="123">
        <f t="shared" si="0"/>
        <v>2</v>
      </c>
      <c r="H26" s="103">
        <f>(G27-G26)</f>
        <v>0</v>
      </c>
      <c r="I26" s="105" t="s">
        <v>48</v>
      </c>
      <c r="J26" s="107" t="s">
        <v>48</v>
      </c>
      <c r="K26" s="105" t="s">
        <v>48</v>
      </c>
      <c r="L26" s="126" t="s">
        <v>48</v>
      </c>
      <c r="M26" s="96"/>
      <c r="N26" s="96"/>
      <c r="O26" s="104"/>
      <c r="P26" s="96"/>
      <c r="Q26" s="97"/>
      <c r="R26" s="97"/>
      <c r="S26" s="97"/>
      <c r="T26" s="97"/>
      <c r="V26" s="14"/>
    </row>
    <row r="27" spans="1:22" ht="19.5" customHeight="1">
      <c r="A27" s="120">
        <v>2</v>
      </c>
      <c r="B27" s="90">
        <v>6</v>
      </c>
      <c r="C27" s="118">
        <v>22</v>
      </c>
      <c r="D27" s="96"/>
      <c r="E27" s="96"/>
      <c r="F27" s="96">
        <v>2</v>
      </c>
      <c r="G27" s="124">
        <f>(C28-C27)</f>
        <v>2</v>
      </c>
      <c r="H27" s="127" t="s">
        <v>48</v>
      </c>
      <c r="I27" s="127" t="s">
        <v>48</v>
      </c>
      <c r="J27" s="128" t="s">
        <v>48</v>
      </c>
      <c r="K27" s="127" t="s">
        <v>48</v>
      </c>
      <c r="L27" s="129" t="s">
        <v>48</v>
      </c>
      <c r="M27" s="96"/>
      <c r="N27" s="96"/>
      <c r="O27" s="108"/>
      <c r="P27" s="109"/>
      <c r="Q27" s="110"/>
      <c r="R27" s="110"/>
      <c r="S27" s="110"/>
      <c r="T27" s="110"/>
      <c r="U27" s="15"/>
      <c r="V27" s="8"/>
    </row>
    <row r="28" spans="1:22" ht="19.5" customHeight="1">
      <c r="A28" s="122">
        <v>3</v>
      </c>
      <c r="B28" s="92">
        <v>7</v>
      </c>
      <c r="C28" s="100">
        <v>24</v>
      </c>
      <c r="D28" s="96"/>
      <c r="E28" s="96"/>
      <c r="F28" s="96"/>
      <c r="G28" s="62"/>
      <c r="H28" s="62"/>
      <c r="I28" s="62"/>
      <c r="J28" s="96"/>
      <c r="K28" s="96"/>
      <c r="L28" s="96"/>
      <c r="M28" s="96"/>
      <c r="N28" s="96"/>
      <c r="O28" s="96"/>
      <c r="P28" s="96"/>
      <c r="Q28" s="97"/>
      <c r="R28" s="97"/>
      <c r="S28" s="97"/>
      <c r="T28" s="97"/>
    </row>
    <row r="29" spans="1:22" ht="18" customHeight="1">
      <c r="A29" s="96"/>
      <c r="B29" s="96"/>
      <c r="C29" s="96"/>
      <c r="D29" s="96"/>
      <c r="E29" s="96"/>
      <c r="F29" s="96"/>
      <c r="G29" s="62"/>
      <c r="H29" s="137" t="s">
        <v>86</v>
      </c>
      <c r="I29" s="62"/>
      <c r="J29" s="96"/>
      <c r="K29" s="96"/>
      <c r="L29" s="96"/>
      <c r="M29" s="96"/>
      <c r="N29" s="96"/>
      <c r="O29" s="96"/>
      <c r="P29" s="96"/>
      <c r="Q29" s="97"/>
      <c r="R29" s="97"/>
      <c r="S29" s="97"/>
      <c r="T29" s="97"/>
    </row>
    <row r="30" spans="1:22" ht="18.75" customHeight="1">
      <c r="A30" s="131" t="s">
        <v>79</v>
      </c>
      <c r="B30" s="132">
        <f>4.3-B25</f>
        <v>0.29999999999999982</v>
      </c>
      <c r="C30" s="96"/>
      <c r="D30" s="96"/>
      <c r="E30" s="96"/>
      <c r="F30" s="96"/>
      <c r="I30" s="96"/>
      <c r="J30" s="96"/>
      <c r="K30" s="96"/>
      <c r="L30" s="96"/>
      <c r="M30" s="96"/>
      <c r="N30" s="96"/>
      <c r="O30" s="96"/>
      <c r="P30" s="96"/>
      <c r="Q30" s="97"/>
      <c r="R30" s="97"/>
      <c r="S30" s="97"/>
      <c r="T30" s="97"/>
    </row>
    <row r="31" spans="1:22" ht="19.5" customHeight="1">
      <c r="A31" s="133" t="s">
        <v>68</v>
      </c>
      <c r="B31" s="134">
        <v>1</v>
      </c>
      <c r="C31" s="96"/>
      <c r="D31" s="96"/>
      <c r="E31" s="96"/>
      <c r="F31" s="96"/>
      <c r="G31" s="111"/>
      <c r="H31" s="111"/>
      <c r="I31" s="96"/>
      <c r="J31" s="96"/>
      <c r="K31" s="96"/>
      <c r="L31" s="96"/>
      <c r="M31" s="96"/>
      <c r="N31" s="96"/>
      <c r="O31" s="96"/>
      <c r="P31" s="96"/>
      <c r="Q31" s="97"/>
      <c r="R31" s="97"/>
      <c r="S31" s="97"/>
      <c r="T31" s="97"/>
    </row>
    <row r="32" spans="1:22" ht="17.25" customHeight="1">
      <c r="A32" s="135" t="s">
        <v>80</v>
      </c>
      <c r="B32" s="136">
        <f>C25</f>
        <v>15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97"/>
      <c r="S32" s="97"/>
      <c r="T32" s="97"/>
    </row>
    <row r="33" spans="1:20" ht="19.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97"/>
      <c r="S33" s="97"/>
      <c r="T33" s="97"/>
    </row>
    <row r="34" spans="1:20" ht="19.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97"/>
      <c r="S34" s="97"/>
      <c r="T34" s="97"/>
    </row>
    <row r="35" spans="1:20" ht="19.5" customHeight="1" thickBot="1">
      <c r="A35" s="96"/>
      <c r="B35" s="96"/>
      <c r="C35" s="96"/>
      <c r="D35" s="96"/>
      <c r="E35" s="96"/>
      <c r="F35" s="96"/>
      <c r="G35" s="112" t="s">
        <v>87</v>
      </c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97"/>
      <c r="S35" s="97"/>
      <c r="T35" s="97"/>
    </row>
    <row r="36" spans="1:20" ht="20.25" customHeight="1">
      <c r="A36" s="96"/>
      <c r="B36" s="96"/>
      <c r="C36" s="96"/>
      <c r="D36" s="96"/>
      <c r="E36" s="96"/>
      <c r="F36" s="96"/>
      <c r="G36" s="138" t="s">
        <v>81</v>
      </c>
      <c r="H36" s="139"/>
      <c r="I36" s="139">
        <f>B32+5*B30-(B30/4)*(B30*B30-1)-((B30*B30)/8)*(B30*B30-1)+(B30/60)*(B30*B30-1)*(B30*B30-4)+((B30*B30)/360)*(B30*B30-1)*(B30*B30-4)*7</f>
        <v>16.602504674999999</v>
      </c>
      <c r="J36" s="139"/>
      <c r="K36" s="140"/>
      <c r="L36" s="96"/>
      <c r="M36" s="96"/>
      <c r="N36" s="96"/>
      <c r="Q36" s="97"/>
      <c r="R36" s="97"/>
      <c r="S36" s="97"/>
      <c r="T36" s="97"/>
    </row>
    <row r="37" spans="1:20" ht="18.75" customHeight="1" thickBot="1">
      <c r="A37" s="96"/>
      <c r="B37" s="96"/>
      <c r="C37" s="96"/>
      <c r="D37" s="96"/>
      <c r="E37" s="96"/>
      <c r="F37" s="96"/>
      <c r="G37" s="141"/>
      <c r="H37" s="142"/>
      <c r="I37" s="142"/>
      <c r="J37" s="142"/>
      <c r="K37" s="143"/>
      <c r="L37" s="96"/>
      <c r="M37" s="96"/>
      <c r="N37" s="96"/>
      <c r="Q37" s="97"/>
      <c r="R37" s="97"/>
      <c r="S37" s="97"/>
      <c r="T37" s="97"/>
    </row>
    <row r="38" spans="1:20" ht="15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Q38" s="97"/>
      <c r="R38" s="97"/>
      <c r="S38" s="97"/>
      <c r="T38" s="97"/>
    </row>
    <row r="39" spans="1:20" ht="18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Q39" s="97"/>
      <c r="R39" s="97"/>
      <c r="S39" s="97"/>
      <c r="T39" s="97"/>
    </row>
    <row r="40" spans="1:20" ht="18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Q40" s="97"/>
      <c r="R40" s="97"/>
      <c r="S40" s="97"/>
      <c r="T40" s="97"/>
    </row>
    <row r="41" spans="1:20" ht="18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Q41" s="97"/>
      <c r="R41" s="97"/>
      <c r="S41" s="97"/>
      <c r="T41" s="97"/>
    </row>
    <row r="42" spans="1:20" ht="18.75" customHeight="1">
      <c r="A42" s="113" t="s">
        <v>82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Q42" s="97"/>
      <c r="R42" s="97"/>
      <c r="S42" s="97"/>
      <c r="T42" s="97"/>
    </row>
    <row r="43" spans="1:20" ht="17.2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Q43" s="97"/>
      <c r="R43" s="97"/>
      <c r="S43" s="97"/>
      <c r="T43" s="97"/>
    </row>
    <row r="44" spans="1:20" ht="17.2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Q44" s="97"/>
      <c r="R44" s="97"/>
      <c r="S44" s="97"/>
      <c r="T44" s="97"/>
    </row>
    <row r="45" spans="1:20" ht="1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7"/>
      <c r="R45" s="97"/>
      <c r="S45" s="97"/>
      <c r="T45" s="97"/>
    </row>
    <row r="46" spans="1:20" ht="25.8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7"/>
      <c r="R46" s="97"/>
      <c r="S46" s="97"/>
      <c r="T46" s="97"/>
    </row>
    <row r="47" spans="1:20" ht="25.8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7"/>
      <c r="R47" s="97"/>
      <c r="S47" s="97"/>
      <c r="T47" s="97"/>
    </row>
    <row r="48" spans="1:20" ht="25.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7"/>
      <c r="R48" s="97"/>
      <c r="S48" s="97"/>
      <c r="T48" s="97"/>
    </row>
    <row r="49" spans="1:20" ht="25.8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7"/>
      <c r="R49" s="97"/>
      <c r="S49" s="97"/>
      <c r="T49" s="97"/>
    </row>
    <row r="50" spans="1:20" ht="25.8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7"/>
      <c r="R50" s="97"/>
      <c r="S50" s="97"/>
      <c r="T50" s="97"/>
    </row>
    <row r="51" spans="1:20" ht="25.8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7"/>
      <c r="R51" s="97"/>
      <c r="S51" s="97"/>
      <c r="T51" s="97"/>
    </row>
    <row r="52" spans="1:20" ht="25.8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7"/>
      <c r="R52" s="97"/>
      <c r="S52" s="97"/>
      <c r="T52" s="97"/>
    </row>
    <row r="53" spans="1:20" ht="23.4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</row>
  </sheetData>
  <mergeCells count="3">
    <mergeCell ref="G36:H37"/>
    <mergeCell ref="I36:K37"/>
    <mergeCell ref="G31:H3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лагранж1</vt:lpstr>
      <vt:lpstr>лагранж2</vt:lpstr>
      <vt:lpstr>лагранж3</vt:lpstr>
      <vt:lpstr>лагранж4</vt:lpstr>
      <vt:lpstr>ньютон1</vt:lpstr>
      <vt:lpstr>ньютон2</vt:lpstr>
      <vt:lpstr>стерлинг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Тихонов</dc:creator>
  <cp:lastModifiedBy>Артём Тихонов</cp:lastModifiedBy>
  <dcterms:created xsi:type="dcterms:W3CDTF">2024-06-23T18:32:06Z</dcterms:created>
  <dcterms:modified xsi:type="dcterms:W3CDTF">2024-06-23T19:57:45Z</dcterms:modified>
</cp:coreProperties>
</file>