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/>
  <xr:revisionPtr revIDLastSave="0" documentId="8_{EE2657E1-477E-4E41-81FD-F9E1AB9B718D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Лагранж, 1" sheetId="1" r:id="rId1"/>
    <sheet name="Лагранж, 2" sheetId="3" r:id="rId2"/>
    <sheet name="Лагранж,3" sheetId="6" r:id="rId3"/>
    <sheet name="Лагранж,4" sheetId="7" r:id="rId4"/>
    <sheet name="Ньютон,1" sheetId="2" r:id="rId5"/>
    <sheet name="Ньютон,2" sheetId="4" r:id="rId6"/>
    <sheet name="Стерлинг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5" l="1"/>
  <c r="B21" i="4"/>
  <c r="D15" i="1"/>
  <c r="C2" i="2"/>
  <c r="B32" i="5"/>
  <c r="G27" i="5"/>
  <c r="B30" i="5"/>
  <c r="G23" i="5"/>
  <c r="G24" i="5"/>
  <c r="G25" i="5"/>
  <c r="G26" i="5"/>
  <c r="G22" i="5"/>
  <c r="H26" i="5"/>
  <c r="H25" i="5"/>
  <c r="I25" i="5" s="1"/>
  <c r="H24" i="5"/>
  <c r="I24" i="5" s="1"/>
  <c r="H23" i="5"/>
  <c r="I23" i="5" s="1"/>
  <c r="B16" i="5"/>
  <c r="B19" i="4"/>
  <c r="B20" i="4"/>
  <c r="B40" i="4"/>
  <c r="E37" i="4"/>
  <c r="E36" i="4"/>
  <c r="F36" i="4" s="1"/>
  <c r="E35" i="4"/>
  <c r="F35" i="4" s="1"/>
  <c r="E34" i="4"/>
  <c r="F34" i="4" s="1"/>
  <c r="E33" i="4"/>
  <c r="F33" i="4" s="1"/>
  <c r="F8" i="4"/>
  <c r="F9" i="4"/>
  <c r="G8" i="4" s="1"/>
  <c r="F10" i="4"/>
  <c r="G9" i="4" s="1"/>
  <c r="H8" i="4" s="1"/>
  <c r="F11" i="4"/>
  <c r="G10" i="4" s="1"/>
  <c r="H9" i="4" s="1"/>
  <c r="F12" i="4"/>
  <c r="G11" i="4" s="1"/>
  <c r="H10" i="4" s="1"/>
  <c r="F13" i="4"/>
  <c r="G12" i="4" s="1"/>
  <c r="H11" i="4" s="1"/>
  <c r="F14" i="4"/>
  <c r="G13" i="4" s="1"/>
  <c r="H12" i="4" s="1"/>
  <c r="F15" i="4"/>
  <c r="G14" i="4" s="1"/>
  <c r="H13" i="4" s="1"/>
  <c r="F16" i="4"/>
  <c r="G15" i="4" s="1"/>
  <c r="H14" i="4" s="1"/>
  <c r="F7" i="4"/>
  <c r="D2" i="2"/>
  <c r="D5" i="7"/>
  <c r="D6" i="7"/>
  <c r="D4" i="7"/>
  <c r="C31" i="6"/>
  <c r="C30" i="6"/>
  <c r="D6" i="6"/>
  <c r="D5" i="6"/>
  <c r="D4" i="6"/>
  <c r="E13" i="3"/>
  <c r="E14" i="3"/>
  <c r="E15" i="3"/>
  <c r="E16" i="3"/>
  <c r="E17" i="3"/>
  <c r="E18" i="3"/>
  <c r="F6" i="3"/>
  <c r="G6" i="3" s="1"/>
  <c r="M16" i="1"/>
  <c r="M17" i="1"/>
  <c r="M18" i="1"/>
  <c r="M19" i="1"/>
  <c r="M20" i="1"/>
  <c r="M15" i="1"/>
  <c r="C23" i="1" s="1"/>
  <c r="C8" i="2"/>
  <c r="C3" i="2"/>
  <c r="C4" i="2"/>
  <c r="D3" i="2" s="1"/>
  <c r="C5" i="2"/>
  <c r="C6" i="2"/>
  <c r="C7" i="2"/>
  <c r="I20" i="1"/>
  <c r="I16" i="1"/>
  <c r="I17" i="1"/>
  <c r="I18" i="1"/>
  <c r="I19" i="1"/>
  <c r="I15" i="1"/>
  <c r="H19" i="1"/>
  <c r="H20" i="1"/>
  <c r="H16" i="1"/>
  <c r="H17" i="1"/>
  <c r="H18" i="1"/>
  <c r="H15" i="1"/>
  <c r="G20" i="1"/>
  <c r="G19" i="1"/>
  <c r="G18" i="1"/>
  <c r="G16" i="1"/>
  <c r="G17" i="1"/>
  <c r="G15" i="1"/>
  <c r="F15" i="1"/>
  <c r="F19" i="1"/>
  <c r="F20" i="1"/>
  <c r="F18" i="1"/>
  <c r="F17" i="1"/>
  <c r="F16" i="1"/>
  <c r="E19" i="1"/>
  <c r="E18" i="1"/>
  <c r="E20" i="1"/>
  <c r="E17" i="1"/>
  <c r="E16" i="1"/>
  <c r="D17" i="1"/>
  <c r="J17" i="1" s="1"/>
  <c r="K17" i="1" s="1"/>
  <c r="D18" i="1"/>
  <c r="J18" i="1" s="1"/>
  <c r="K18" i="1" s="1"/>
  <c r="D19" i="1"/>
  <c r="J19" i="1" s="1"/>
  <c r="K19" i="1" s="1"/>
  <c r="D20" i="1"/>
  <c r="J20" i="1" s="1"/>
  <c r="K20" i="1" s="1"/>
  <c r="D16" i="1"/>
  <c r="J16" i="1" s="1"/>
  <c r="K16" i="1" s="1"/>
  <c r="E15" i="1"/>
  <c r="J15" i="1"/>
  <c r="K15" i="1" s="1"/>
  <c r="C24" i="1" s="1"/>
  <c r="T11" i="5" l="1"/>
  <c r="J23" i="5"/>
  <c r="J24" i="5"/>
  <c r="K23" i="5" s="1"/>
  <c r="H22" i="5"/>
  <c r="G7" i="4"/>
  <c r="H7" i="4" s="1"/>
  <c r="B23" i="4"/>
  <c r="D14" i="3"/>
  <c r="F14" i="3" s="1"/>
  <c r="G14" i="3" s="1"/>
  <c r="D15" i="3"/>
  <c r="F15" i="3" s="1"/>
  <c r="G15" i="3" s="1"/>
  <c r="D16" i="3"/>
  <c r="F16" i="3" s="1"/>
  <c r="G16" i="3" s="1"/>
  <c r="D17" i="3"/>
  <c r="F17" i="3" s="1"/>
  <c r="G17" i="3" s="1"/>
  <c r="D18" i="3"/>
  <c r="F18" i="3" s="1"/>
  <c r="G18" i="3" s="1"/>
  <c r="D13" i="3"/>
  <c r="C26" i="1"/>
  <c r="D5" i="2"/>
  <c r="D4" i="2"/>
  <c r="F14" i="2"/>
  <c r="B16" i="2"/>
  <c r="D7" i="2"/>
  <c r="D6" i="2"/>
  <c r="F16" i="2" s="1"/>
  <c r="B14" i="2"/>
  <c r="D21" i="3" l="1"/>
  <c r="F13" i="3"/>
  <c r="G13" i="3" s="1"/>
  <c r="D22" i="3" l="1"/>
  <c r="D24" i="3" s="1"/>
  <c r="I22" i="5"/>
  <c r="J22" i="5" s="1"/>
  <c r="K22" i="5" s="1"/>
  <c r="L22" i="5" s="1"/>
</calcChain>
</file>

<file path=xl/sharedStrings.xml><?xml version="1.0" encoding="utf-8"?>
<sst xmlns="http://schemas.openxmlformats.org/spreadsheetml/2006/main" count="140" uniqueCount="74">
  <si>
    <t>Вычислить значение функции f(x)=y(x) при x=</t>
  </si>
  <si>
    <t>Начальные данные:</t>
  </si>
  <si>
    <t>i</t>
  </si>
  <si>
    <t>x</t>
  </si>
  <si>
    <t>y</t>
  </si>
  <si>
    <t>Таблица:</t>
  </si>
  <si>
    <t>Разности</t>
  </si>
  <si>
    <t>Di</t>
  </si>
  <si>
    <t>Yi/Di</t>
  </si>
  <si>
    <t>x - x_i</t>
  </si>
  <si>
    <t>Элементы главной диагонали</t>
  </si>
  <si>
    <t>П(5+1) =</t>
  </si>
  <si>
    <t>∑(Yi/Di) =</t>
  </si>
  <si>
    <t>f(0,263) ≈</t>
  </si>
  <si>
    <t>h</t>
  </si>
  <si>
    <t>t</t>
  </si>
  <si>
    <t>n</t>
  </si>
  <si>
    <t>Xi</t>
  </si>
  <si>
    <t>Yi</t>
  </si>
  <si>
    <t>t-i</t>
  </si>
  <si>
    <t>Ci</t>
  </si>
  <si>
    <t>(t-i)Ci</t>
  </si>
  <si>
    <t>Yi/((t-i)Ci)</t>
  </si>
  <si>
    <t>П(t) =</t>
  </si>
  <si>
    <t>∑(Yi/((t-i)Ci)) =</t>
  </si>
  <si>
    <t>f(x)</t>
  </si>
  <si>
    <t>Найти интерполяционный полином Лагранжа для функции f(x)=y(x)=sin(πx)</t>
  </si>
  <si>
    <t>Используя формулу, получаем интерполяционный полином Лагранжа:</t>
  </si>
  <si>
    <t>Теперь, зная интерполяционный полином Лагранжа, можем вычислить значения функции для значений x = 1/4 и x=1/3:</t>
  </si>
  <si>
    <t>P(1/4) ≈</t>
  </si>
  <si>
    <t>P(1/3) ≈</t>
  </si>
  <si>
    <t>Найти интерполяционный полином Лагранжа для функции f(x)=y(x)=x^2</t>
  </si>
  <si>
    <t>x_i</t>
  </si>
  <si>
    <t>y_i</t>
  </si>
  <si>
    <t>f(x0;x1)</t>
  </si>
  <si>
    <t>f(x0;x1;x2)</t>
  </si>
  <si>
    <t>-</t>
  </si>
  <si>
    <t>Найдем y(x) для x = 0,112</t>
  </si>
  <si>
    <t>Найдем y(x) для x = 0,133</t>
  </si>
  <si>
    <t>1) x0 = 0,103</t>
  </si>
  <si>
    <t>1) x0 = 0,120</t>
  </si>
  <si>
    <t>y(0,112) =</t>
  </si>
  <si>
    <t>y(0,133) =</t>
  </si>
  <si>
    <t>2) x0 = 0,108</t>
  </si>
  <si>
    <t>2) x0 = 0,128</t>
  </si>
  <si>
    <t>Окончательная решение:</t>
  </si>
  <si>
    <t>y(0,112)=2,04922</t>
  </si>
  <si>
    <t>y(0,133)=2,12386</t>
  </si>
  <si>
    <t>Задача 1</t>
  </si>
  <si>
    <t>Найти: Ф(1,43)</t>
  </si>
  <si>
    <t>Вычисляемые значения:</t>
  </si>
  <si>
    <t>Δy</t>
  </si>
  <si>
    <t>Δ^2y</t>
  </si>
  <si>
    <t>Δ^3y</t>
  </si>
  <si>
    <t xml:space="preserve">x0 = </t>
  </si>
  <si>
    <t>h =</t>
  </si>
  <si>
    <t>a =</t>
  </si>
  <si>
    <t>y ≈</t>
  </si>
  <si>
    <t>Задача 2</t>
  </si>
  <si>
    <t>Построить империческую формулу распределения</t>
  </si>
  <si>
    <t>Теперь по формуле можем найти эмпирическую формулу:</t>
  </si>
  <si>
    <t xml:space="preserve">Задача </t>
  </si>
  <si>
    <r>
      <rPr>
        <sz val="14"/>
        <color rgb="FF000000"/>
        <rFont val="Angsana New"/>
      </rPr>
      <t>Вычислить значение функции в точке</t>
    </r>
    <r>
      <rPr>
        <sz val="18"/>
        <color rgb="FF000000"/>
        <rFont val="Angsana New"/>
      </rPr>
      <t xml:space="preserve"> 4,3</t>
    </r>
    <r>
      <rPr>
        <sz val="14"/>
        <color rgb="FF000000"/>
        <rFont val="Angsana New"/>
      </rPr>
      <t>, используя полином Стерлинга</t>
    </r>
  </si>
  <si>
    <t>Перепишем данные с индексами:</t>
  </si>
  <si>
    <t>Таблица разделенных разностей:</t>
  </si>
  <si>
    <t>Δ^4y</t>
  </si>
  <si>
    <t>Δ^5y</t>
  </si>
  <si>
    <t>Δ^6y</t>
  </si>
  <si>
    <t>u =</t>
  </si>
  <si>
    <t>Полином:</t>
  </si>
  <si>
    <t>y_0 =</t>
  </si>
  <si>
    <t>Тогда:</t>
  </si>
  <si>
    <t>P(4,3) =</t>
  </si>
  <si>
    <t>Вычисления: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</si>
</sst>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0000"/>
    <numFmt numFmtId="167" formatCode="0.0"/>
    <numFmt numFmtId="168" formatCode="0.0000"/>
  </numFmts>
  <fonts count="20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2"/>
      <color theme="1"/>
      <name val="Aptos Narrow"/>
      <family val="2"/>
      <scheme val="minor"/>
    </font>
    <font>
      <b/>
      <sz val="20"/>
      <color theme="1"/>
      <name val="Angsana New"/>
    </font>
    <font>
      <sz val="12"/>
      <color theme="1"/>
      <name val="Book Antiqua"/>
    </font>
    <font>
      <sz val="11"/>
      <color theme="1"/>
      <name val="Book Antiqua"/>
    </font>
    <font>
      <sz val="12"/>
      <color rgb="FF333333"/>
      <name val="Book Antiqua"/>
    </font>
    <font>
      <sz val="14"/>
      <color theme="1"/>
      <name val="Angsana New"/>
    </font>
    <font>
      <sz val="14"/>
      <color theme="1"/>
      <name val="Aptos Narrow"/>
      <family val="2"/>
      <scheme val="minor"/>
    </font>
    <font>
      <sz val="14"/>
      <color rgb="FF242424"/>
      <name val="Aptos Narrow"/>
      <charset val="1"/>
    </font>
    <font>
      <sz val="14"/>
      <color rgb="FF000000"/>
      <name val="Angsana New"/>
    </font>
    <font>
      <sz val="18"/>
      <color rgb="FF000000"/>
      <name val="Angsana New"/>
    </font>
    <font>
      <sz val="12"/>
      <color theme="1"/>
      <name val="Angsana New"/>
    </font>
    <font>
      <sz val="12"/>
      <color rgb="FF333333"/>
      <name val="Angsana New"/>
    </font>
    <font>
      <sz val="18"/>
      <color theme="1"/>
      <name val="Angsana New"/>
    </font>
    <font>
      <sz val="18"/>
      <color theme="1"/>
      <name val="Aptos Narrow"/>
      <family val="2"/>
      <scheme val="minor"/>
    </font>
    <font>
      <sz val="20"/>
      <color theme="1"/>
      <name val="Angsana New"/>
    </font>
    <font>
      <sz val="11"/>
      <color rgb="FF000000"/>
      <name val="Angsana New"/>
    </font>
    <font>
      <sz val="36"/>
      <color theme="1"/>
      <name val="Angsana New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0" fillId="2" borderId="8" xfId="0" applyFill="1" applyBorder="1" applyAlignment="1">
      <alignment horizontal="center"/>
    </xf>
    <xf numFmtId="0" fontId="0" fillId="3" borderId="1" xfId="0" applyFill="1" applyBorder="1"/>
    <xf numFmtId="0" fontId="1" fillId="0" borderId="0" xfId="0" applyFont="1"/>
    <xf numFmtId="0" fontId="0" fillId="2" borderId="10" xfId="0" applyFill="1" applyBorder="1" applyAlignment="1">
      <alignment horizontal="center"/>
    </xf>
    <xf numFmtId="0" fontId="0" fillId="5" borderId="1" xfId="0" applyFill="1" applyBorder="1"/>
    <xf numFmtId="0" fontId="0" fillId="5" borderId="4" xfId="0" applyFill="1" applyBorder="1"/>
    <xf numFmtId="166" fontId="0" fillId="0" borderId="4" xfId="0" applyNumberFormat="1" applyBorder="1"/>
    <xf numFmtId="0" fontId="0" fillId="4" borderId="1" xfId="0" applyFill="1" applyBorder="1" applyAlignment="1">
      <alignment horizontal="right"/>
    </xf>
    <xf numFmtId="0" fontId="0" fillId="4" borderId="1" xfId="0" applyFill="1" applyBorder="1"/>
    <xf numFmtId="0" fontId="0" fillId="0" borderId="0" xfId="0" applyAlignment="1">
      <alignment horizontal="center"/>
    </xf>
    <xf numFmtId="166" fontId="0" fillId="0" borderId="0" xfId="0" applyNumberFormat="1"/>
    <xf numFmtId="0" fontId="0" fillId="2" borderId="1" xfId="0" applyFill="1" applyBorder="1" applyAlignment="1">
      <alignment horizontal="center"/>
    </xf>
    <xf numFmtId="0" fontId="2" fillId="2" borderId="4" xfId="0" applyFont="1" applyFill="1" applyBorder="1"/>
    <xf numFmtId="0" fontId="0" fillId="2" borderId="6" xfId="0" applyFill="1" applyBorder="1" applyAlignment="1">
      <alignment horizontal="left" wrapText="1"/>
    </xf>
    <xf numFmtId="0" fontId="0" fillId="3" borderId="0" xfId="0" applyFill="1"/>
    <xf numFmtId="0" fontId="0" fillId="2" borderId="12" xfId="0" applyFill="1" applyBorder="1"/>
    <xf numFmtId="12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 applyAlignment="1">
      <alignment wrapText="1"/>
    </xf>
    <xf numFmtId="0" fontId="0" fillId="4" borderId="1" xfId="0" applyFill="1" applyBorder="1" applyAlignment="1">
      <alignment wrapText="1"/>
    </xf>
    <xf numFmtId="1" fontId="0" fillId="0" borderId="1" xfId="0" applyNumberFormat="1" applyBorder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167" fontId="5" fillId="0" borderId="1" xfId="0" applyNumberFormat="1" applyFont="1" applyBorder="1"/>
    <xf numFmtId="0" fontId="5" fillId="2" borderId="1" xfId="0" applyFont="1" applyFill="1" applyBorder="1"/>
    <xf numFmtId="0" fontId="5" fillId="3" borderId="1" xfId="0" applyFont="1" applyFill="1" applyBorder="1"/>
    <xf numFmtId="0" fontId="7" fillId="3" borderId="1" xfId="0" applyFont="1" applyFill="1" applyBorder="1" applyAlignment="1">
      <alignment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167" fontId="5" fillId="0" borderId="2" xfId="0" applyNumberFormat="1" applyFont="1" applyBorder="1" applyAlignment="1">
      <alignment horizontal="left"/>
    </xf>
    <xf numFmtId="0" fontId="5" fillId="10" borderId="5" xfId="0" applyFont="1" applyFill="1" applyBorder="1" applyAlignment="1">
      <alignment horizontal="right"/>
    </xf>
    <xf numFmtId="164" fontId="5" fillId="10" borderId="5" xfId="0" applyNumberFormat="1" applyFont="1" applyFill="1" applyBorder="1" applyAlignment="1">
      <alignment horizontal="left"/>
    </xf>
    <xf numFmtId="0" fontId="5" fillId="0" borderId="11" xfId="0" applyFont="1" applyBorder="1"/>
    <xf numFmtId="0" fontId="9" fillId="3" borderId="1" xfId="0" applyFont="1" applyFill="1" applyBorder="1"/>
    <xf numFmtId="0" fontId="9" fillId="0" borderId="0" xfId="0" applyFont="1"/>
    <xf numFmtId="165" fontId="9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/>
    <xf numFmtId="0" fontId="9" fillId="0" borderId="0" xfId="0" applyFont="1" applyAlignment="1">
      <alignment horizontal="center"/>
    </xf>
    <xf numFmtId="0" fontId="10" fillId="0" borderId="0" xfId="0" applyFont="1"/>
    <xf numFmtId="0" fontId="5" fillId="2" borderId="2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67" fontId="5" fillId="0" borderId="1" xfId="0" applyNumberFormat="1" applyFont="1" applyBorder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top"/>
    </xf>
    <xf numFmtId="167" fontId="13" fillId="0" borderId="0" xfId="0" applyNumberFormat="1" applyFont="1"/>
    <xf numFmtId="0" fontId="15" fillId="2" borderId="1" xfId="0" applyFont="1" applyFill="1" applyBorder="1"/>
    <xf numFmtId="1" fontId="15" fillId="0" borderId="1" xfId="0" applyNumberFormat="1" applyFont="1" applyBorder="1"/>
    <xf numFmtId="0" fontId="15" fillId="0" borderId="1" xfId="0" applyFont="1" applyBorder="1"/>
    <xf numFmtId="1" fontId="15" fillId="0" borderId="2" xfId="0" applyNumberFormat="1" applyFont="1" applyBorder="1"/>
    <xf numFmtId="0" fontId="15" fillId="0" borderId="2" xfId="0" applyFont="1" applyBorder="1"/>
    <xf numFmtId="0" fontId="15" fillId="4" borderId="4" xfId="0" applyFont="1" applyFill="1" applyBorder="1" applyAlignment="1">
      <alignment horizontal="right"/>
    </xf>
    <xf numFmtId="1" fontId="15" fillId="4" borderId="9" xfId="0" applyNumberFormat="1" applyFont="1" applyFill="1" applyBorder="1" applyAlignment="1">
      <alignment horizontal="left"/>
    </xf>
    <xf numFmtId="0" fontId="15" fillId="0" borderId="0" xfId="0" applyFont="1"/>
    <xf numFmtId="0" fontId="16" fillId="0" borderId="0" xfId="0" applyFont="1"/>
    <xf numFmtId="0" fontId="15" fillId="2" borderId="3" xfId="0" applyFont="1" applyFill="1" applyBorder="1"/>
    <xf numFmtId="0" fontId="15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5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2" xfId="0" applyFont="1" applyBorder="1"/>
    <xf numFmtId="0" fontId="17" fillId="0" borderId="9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5" fillId="0" borderId="4" xfId="0" applyFont="1" applyBorder="1" applyAlignment="1">
      <alignment horizontal="right"/>
    </xf>
    <xf numFmtId="0" fontId="15" fillId="0" borderId="9" xfId="0" applyFont="1" applyBorder="1" applyAlignment="1">
      <alignment horizontal="left"/>
    </xf>
    <xf numFmtId="0" fontId="15" fillId="0" borderId="10" xfId="0" applyFont="1" applyBorder="1" applyAlignment="1">
      <alignment horizontal="right"/>
    </xf>
    <xf numFmtId="167" fontId="15" fillId="0" borderId="8" xfId="0" applyNumberFormat="1" applyFont="1" applyBorder="1" applyAlignment="1">
      <alignment horizontal="left"/>
    </xf>
    <xf numFmtId="0" fontId="18" fillId="0" borderId="0" xfId="0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8" fillId="0" borderId="1" xfId="0" applyFont="1" applyBorder="1"/>
    <xf numFmtId="0" fontId="15" fillId="0" borderId="10" xfId="0" applyFont="1" applyBorder="1"/>
    <xf numFmtId="0" fontId="15" fillId="0" borderId="25" xfId="0" applyFont="1" applyBorder="1"/>
    <xf numFmtId="0" fontId="16" fillId="0" borderId="25" xfId="0" applyFont="1" applyBorder="1"/>
    <xf numFmtId="0" fontId="0" fillId="0" borderId="25" xfId="0" applyBorder="1"/>
    <xf numFmtId="0" fontId="0" fillId="0" borderId="8" xfId="0" applyBorder="1"/>
    <xf numFmtId="0" fontId="15" fillId="0" borderId="11" xfId="0" applyFont="1" applyBorder="1"/>
    <xf numFmtId="0" fontId="0" fillId="0" borderId="26" xfId="0" applyBorder="1"/>
    <xf numFmtId="0" fontId="15" fillId="0" borderId="7" xfId="0" applyFont="1" applyBorder="1"/>
    <xf numFmtId="0" fontId="15" fillId="0" borderId="27" xfId="0" applyFont="1" applyBorder="1"/>
    <xf numFmtId="0" fontId="16" fillId="0" borderId="27" xfId="0" applyFont="1" applyBorder="1"/>
    <xf numFmtId="0" fontId="0" fillId="0" borderId="27" xfId="0" applyBorder="1"/>
    <xf numFmtId="0" fontId="0" fillId="0" borderId="6" xfId="0" applyBorder="1"/>
    <xf numFmtId="0" fontId="9" fillId="0" borderId="2" xfId="0" applyFont="1" applyBorder="1"/>
    <xf numFmtId="0" fontId="9" fillId="0" borderId="3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4" xfId="0" applyFont="1" applyBorder="1"/>
    <xf numFmtId="164" fontId="9" fillId="0" borderId="9" xfId="0" applyNumberFormat="1" applyFont="1" applyBorder="1"/>
    <xf numFmtId="0" fontId="11" fillId="0" borderId="0" xfId="0" applyFo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6" borderId="1" xfId="0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11" borderId="9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8" fillId="0" borderId="17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19" fillId="11" borderId="21" xfId="0" applyFont="1" applyFill="1" applyBorder="1" applyAlignment="1">
      <alignment horizontal="center" vertical="center"/>
    </xf>
    <xf numFmtId="0" fontId="19" fillId="11" borderId="14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center" vertical="center"/>
    </xf>
    <xf numFmtId="0" fontId="19" fillId="11" borderId="24" xfId="0" applyFont="1" applyFill="1" applyBorder="1" applyAlignment="1">
      <alignment horizontal="center" vertical="center"/>
    </xf>
    <xf numFmtId="0" fontId="19" fillId="11" borderId="15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Без найденных значений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'Ньютон,1'!$A$2:$A$9,'Ньютон,1'!$B$2:$B$9</c:f>
              <c:numCache>
                <c:formatCode>General</c:formatCode>
                <c:ptCount val="16"/>
                <c:pt idx="0">
                  <c:v>0.10299999999999999</c:v>
                </c:pt>
                <c:pt idx="1">
                  <c:v>0.108</c:v>
                </c:pt>
                <c:pt idx="2">
                  <c:v>0.115</c:v>
                </c:pt>
                <c:pt idx="3">
                  <c:v>0.12</c:v>
                </c:pt>
                <c:pt idx="4">
                  <c:v>0.128</c:v>
                </c:pt>
                <c:pt idx="5">
                  <c:v>0.13600000000000001</c:v>
                </c:pt>
                <c:pt idx="6">
                  <c:v>0.14099999999999999</c:v>
                </c:pt>
                <c:pt idx="7">
                  <c:v>0.15</c:v>
                </c:pt>
                <c:pt idx="8">
                  <c:v>2.0128400000000002</c:v>
                </c:pt>
                <c:pt idx="9">
                  <c:v>2.03342</c:v>
                </c:pt>
                <c:pt idx="10">
                  <c:v>2.0607000000000002</c:v>
                </c:pt>
                <c:pt idx="11">
                  <c:v>2.07918</c:v>
                </c:pt>
                <c:pt idx="12">
                  <c:v>2.1072099999999998</c:v>
                </c:pt>
                <c:pt idx="13">
                  <c:v>2.13354</c:v>
                </c:pt>
                <c:pt idx="14">
                  <c:v>2.1492200000000001</c:v>
                </c:pt>
                <c:pt idx="15">
                  <c:v>2.1760899999999999</c:v>
                </c:pt>
              </c:numCache>
            </c:numRef>
          </c:xVal>
          <c:yVal>
            <c:numRef>
              <c:f>'Ньютон,1'!$B$2:$B$9</c:f>
              <c:numCache>
                <c:formatCode>General</c:formatCode>
                <c:ptCount val="8"/>
                <c:pt idx="0">
                  <c:v>2.0128400000000002</c:v>
                </c:pt>
                <c:pt idx="1">
                  <c:v>2.03342</c:v>
                </c:pt>
                <c:pt idx="2">
                  <c:v>2.0607000000000002</c:v>
                </c:pt>
                <c:pt idx="3">
                  <c:v>2.07918</c:v>
                </c:pt>
                <c:pt idx="4">
                  <c:v>2.1072099999999998</c:v>
                </c:pt>
                <c:pt idx="5">
                  <c:v>2.13354</c:v>
                </c:pt>
                <c:pt idx="6">
                  <c:v>2.1492200000000001</c:v>
                </c:pt>
                <c:pt idx="7">
                  <c:v>2.1760899999999999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BE-456E-B434-BDF5FBC2B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058119"/>
        <c:axId val="385081351"/>
      </c:scatterChart>
      <c:valAx>
        <c:axId val="748058119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081351"/>
        <c:crosses val="autoZero"/>
        <c:crossBetween val="midCat"/>
      </c:valAx>
      <c:valAx>
        <c:axId val="385081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58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 найденными значениями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'Ньютон,1'!$A$26:$A$35</c:f>
              <c:numCache>
                <c:formatCode>0.000</c:formatCode>
                <c:ptCount val="10"/>
                <c:pt idx="0">
                  <c:v>0.10299999999999999</c:v>
                </c:pt>
                <c:pt idx="1">
                  <c:v>0.108</c:v>
                </c:pt>
                <c:pt idx="2" formatCode="General">
                  <c:v>0.112</c:v>
                </c:pt>
                <c:pt idx="3">
                  <c:v>0.115</c:v>
                </c:pt>
                <c:pt idx="4">
                  <c:v>0.12</c:v>
                </c:pt>
                <c:pt idx="5">
                  <c:v>0.128</c:v>
                </c:pt>
                <c:pt idx="6" formatCode="General">
                  <c:v>0.13300000000000001</c:v>
                </c:pt>
                <c:pt idx="7">
                  <c:v>0.13600000000000001</c:v>
                </c:pt>
                <c:pt idx="8">
                  <c:v>0.14099999999999999</c:v>
                </c:pt>
                <c:pt idx="9">
                  <c:v>0.15</c:v>
                </c:pt>
              </c:numCache>
            </c:numRef>
          </c:xVal>
          <c:yVal>
            <c:numRef>
              <c:f>'Ньютон,1'!$B$26:$B$35</c:f>
              <c:numCache>
                <c:formatCode>General</c:formatCode>
                <c:ptCount val="10"/>
                <c:pt idx="0">
                  <c:v>2.0128400000000002</c:v>
                </c:pt>
                <c:pt idx="1">
                  <c:v>2.03342</c:v>
                </c:pt>
                <c:pt idx="2">
                  <c:v>2.04922</c:v>
                </c:pt>
                <c:pt idx="3">
                  <c:v>2.0607000000000002</c:v>
                </c:pt>
                <c:pt idx="4">
                  <c:v>2.07918</c:v>
                </c:pt>
                <c:pt idx="5">
                  <c:v>2.1072099999999998</c:v>
                </c:pt>
                <c:pt idx="6">
                  <c:v>2.1238600000000001</c:v>
                </c:pt>
                <c:pt idx="7">
                  <c:v>2.13354</c:v>
                </c:pt>
                <c:pt idx="8">
                  <c:v>2.1492200000000001</c:v>
                </c:pt>
                <c:pt idx="9">
                  <c:v>2.1760899999999999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B5-4FD4-A727-C73F7F013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106183"/>
        <c:axId val="349108743"/>
      </c:scatterChart>
      <c:valAx>
        <c:axId val="349106183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08743"/>
        <c:crosses val="autoZero"/>
        <c:crossBetween val="midCat"/>
      </c:valAx>
      <c:valAx>
        <c:axId val="349108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106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без искомого значения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Стерлинг!$A$7:$A$14</c:f>
              <c:numCache>
                <c:formatCode>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Стерлинг!$B$7:$B$14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F2-4982-85CA-94BD89EE7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952327"/>
        <c:axId val="304954375"/>
      </c:scatterChart>
      <c:valAx>
        <c:axId val="30495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54375"/>
        <c:crosses val="autoZero"/>
        <c:crossBetween val="midCat"/>
      </c:valAx>
      <c:valAx>
        <c:axId val="304954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52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График с искомым значением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Стерлинг!$S$6:$S$14</c:f>
              <c:numCache>
                <c:formatCode>0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 formatCode="General">
                  <c:v>4.3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xVal>
          <c:yVal>
            <c:numRef>
              <c:f>Стерлинг!$T$6:$T$14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16.602504674999999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50-4212-BE0A-52DAF436D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432"/>
        <c:axId val="809480"/>
      </c:scatterChart>
      <c:valAx>
        <c:axId val="80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80"/>
        <c:crosses val="autoZero"/>
        <c:crossBetween val="midCat"/>
      </c:valAx>
      <c:valAx>
        <c:axId val="80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chart" Target="../charts/chart3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9</xdr:row>
      <xdr:rowOff>0</xdr:rowOff>
    </xdr:from>
    <xdr:to>
      <xdr:col>9</xdr:col>
      <xdr:colOff>561975</xdr:colOff>
      <xdr:row>23</xdr:row>
      <xdr:rowOff>66675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BDDAAB-3BF7-E9B6-BD81-CC9124BA8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714500"/>
          <a:ext cx="5857875" cy="2733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9</xdr:row>
      <xdr:rowOff>38100</xdr:rowOff>
    </xdr:from>
    <xdr:to>
      <xdr:col>8</xdr:col>
      <xdr:colOff>257175</xdr:colOff>
      <xdr:row>17</xdr:row>
      <xdr:rowOff>152400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1095327-D205-E4B7-1F14-A55D81EE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752600"/>
          <a:ext cx="4972050" cy="163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6</xdr:row>
      <xdr:rowOff>19050</xdr:rowOff>
    </xdr:from>
    <xdr:to>
      <xdr:col>18</xdr:col>
      <xdr:colOff>552450</xdr:colOff>
      <xdr:row>23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3AF7AB7-FED1-4460-A40B-D4A621B6C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238125</xdr:colOff>
      <xdr:row>6</xdr:row>
      <xdr:rowOff>85725</xdr:rowOff>
    </xdr:from>
    <xdr:to>
      <xdr:col>29</xdr:col>
      <xdr:colOff>9525</xdr:colOff>
      <xdr:row>23</xdr:row>
      <xdr:rowOff>9525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F44DCFB-1543-AFFE-3196-ECC2FC678CD6}"/>
            </a:ext>
            <a:ext uri="{147F2762-F138-4A5C-976F-8EAC2B608ADB}">
              <a16:predDERef xmlns:a16="http://schemas.microsoft.com/office/drawing/2014/main" pred="{A3AF7AB7-FED1-4460-A40B-D4A621B6C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20</xdr:row>
      <xdr:rowOff>133350</xdr:rowOff>
    </xdr:from>
    <xdr:to>
      <xdr:col>9</xdr:col>
      <xdr:colOff>104775</xdr:colOff>
      <xdr:row>23</xdr:row>
      <xdr:rowOff>28575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731C2C4-67E5-B13D-B05E-3DA5006D5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450" y="4324350"/>
          <a:ext cx="4572000" cy="52387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45</xdr:row>
      <xdr:rowOff>28575</xdr:rowOff>
    </xdr:from>
    <xdr:to>
      <xdr:col>16</xdr:col>
      <xdr:colOff>419100</xdr:colOff>
      <xdr:row>51</xdr:row>
      <xdr:rowOff>180975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B665DA8-1889-78B6-B1D7-635405A3EDD8}"/>
            </a:ext>
            <a:ext uri="{147F2762-F138-4A5C-976F-8EAC2B608ADB}">
              <a16:predDERef xmlns:a16="http://schemas.microsoft.com/office/drawing/2014/main" pred="{C731C2C4-67E5-B13D-B05E-3DA5006D5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9515475"/>
          <a:ext cx="4572000" cy="1409700"/>
        </a:xfrm>
        <a:prstGeom prst="rect">
          <a:avLst/>
        </a:prstGeom>
      </xdr:spPr>
    </xdr:pic>
    <xdr:clientData/>
  </xdr:twoCellAnchor>
  <xdr:twoCellAnchor editAs="oneCell">
    <xdr:from>
      <xdr:col>2</xdr:col>
      <xdr:colOff>504825</xdr:colOff>
      <xdr:row>45</xdr:row>
      <xdr:rowOff>38100</xdr:rowOff>
    </xdr:from>
    <xdr:to>
      <xdr:col>8</xdr:col>
      <xdr:colOff>838200</xdr:colOff>
      <xdr:row>52</xdr:row>
      <xdr:rowOff>76200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6A45682-FCAB-65F4-AA77-D61140B2C477}"/>
            </a:ext>
            <a:ext uri="{147F2762-F138-4A5C-976F-8EAC2B608ADB}">
              <a16:predDERef xmlns:a16="http://schemas.microsoft.com/office/drawing/2014/main" pred="{6B665DA8-1889-78B6-B1D7-635405A3E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9775" y="9525000"/>
          <a:ext cx="4029075" cy="1504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3</xdr:row>
      <xdr:rowOff>161925</xdr:rowOff>
    </xdr:from>
    <xdr:to>
      <xdr:col>9</xdr:col>
      <xdr:colOff>257175</xdr:colOff>
      <xdr:row>14</xdr:row>
      <xdr:rowOff>190500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38288CA-14C2-A397-03A9-C2946714D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42</xdr:row>
      <xdr:rowOff>19050</xdr:rowOff>
    </xdr:from>
    <xdr:to>
      <xdr:col>6</xdr:col>
      <xdr:colOff>581025</xdr:colOff>
      <xdr:row>48</xdr:row>
      <xdr:rowOff>323850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237EBEA-EFF7-01F6-4714-F40E4E248B1C}"/>
            </a:ext>
            <a:ext uri="{147F2762-F138-4A5C-976F-8EAC2B608ADB}">
              <a16:predDERef xmlns:a16="http://schemas.microsoft.com/office/drawing/2014/main" pred="{A38288CA-14C2-A397-03A9-C2946714D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10115550"/>
          <a:ext cx="4572000" cy="19335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49</xdr:row>
      <xdr:rowOff>38100</xdr:rowOff>
    </xdr:from>
    <xdr:to>
      <xdr:col>10</xdr:col>
      <xdr:colOff>266700</xdr:colOff>
      <xdr:row>55</xdr:row>
      <xdr:rowOff>123825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14A19A2-6111-E4B0-2452-3BFB6D4043DD}"/>
            </a:ext>
            <a:ext uri="{147F2762-F138-4A5C-976F-8EAC2B608ADB}">
              <a16:predDERef xmlns:a16="http://schemas.microsoft.com/office/drawing/2014/main" pred="{2237EBEA-EFF7-01F6-4714-F40E4E248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11868150"/>
          <a:ext cx="6743700" cy="177165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20</xdr:row>
      <xdr:rowOff>19050</xdr:rowOff>
    </xdr:from>
    <xdr:to>
      <xdr:col>16</xdr:col>
      <xdr:colOff>171450</xdr:colOff>
      <xdr:row>21</xdr:row>
      <xdr:rowOff>228600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E8098A4-67B4-DBC2-776B-3EAEA8C94628}"/>
            </a:ext>
            <a:ext uri="{147F2762-F138-4A5C-976F-8EAC2B608ADB}">
              <a16:predDERef xmlns:a16="http://schemas.microsoft.com/office/drawing/2014/main" pred="{E14A19A2-6111-E4B0-2452-3BFB6D404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3025" y="4610100"/>
          <a:ext cx="1371600" cy="44767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22</xdr:row>
      <xdr:rowOff>0</xdr:rowOff>
    </xdr:from>
    <xdr:to>
      <xdr:col>19</xdr:col>
      <xdr:colOff>571500</xdr:colOff>
      <xdr:row>24</xdr:row>
      <xdr:rowOff>85725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4B90317-B286-9511-6DB9-AE9B26EF15EB}"/>
            </a:ext>
            <a:ext uri="{147F2762-F138-4A5C-976F-8EAC2B608ADB}">
              <a16:predDERef xmlns:a16="http://schemas.microsoft.com/office/drawing/2014/main" pred="{CE8098A4-67B4-DBC2-776B-3EAEA8C94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63025" y="5105400"/>
          <a:ext cx="3600450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25</xdr:row>
      <xdr:rowOff>0</xdr:rowOff>
    </xdr:from>
    <xdr:to>
      <xdr:col>21</xdr:col>
      <xdr:colOff>323850</xdr:colOff>
      <xdr:row>26</xdr:row>
      <xdr:rowOff>219075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C6A319E-3AB4-C837-EBA9-57C31A623749}"/>
            </a:ext>
            <a:ext uri="{147F2762-F138-4A5C-976F-8EAC2B608ADB}">
              <a16:predDERef xmlns:a16="http://schemas.microsoft.com/office/drawing/2014/main" pred="{A4B90317-B286-9511-6DB9-AE9B26EF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63025" y="5838825"/>
          <a:ext cx="4572000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19050</xdr:rowOff>
    </xdr:from>
    <xdr:to>
      <xdr:col>9</xdr:col>
      <xdr:colOff>85725</xdr:colOff>
      <xdr:row>67</xdr:row>
      <xdr:rowOff>95250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FE1CAE81-1D5A-1BC3-86D5-B1BE0EE75384}"/>
            </a:ext>
            <a:ext uri="{147F2762-F138-4A5C-976F-8EAC2B608ADB}">
              <a16:predDERef xmlns:a16="http://schemas.microsoft.com/office/drawing/2014/main" pred="{0C6A319E-3AB4-C837-EBA9-57C31A623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725525"/>
          <a:ext cx="5934075" cy="2171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20</xdr:col>
      <xdr:colOff>47625</xdr:colOff>
      <xdr:row>33</xdr:row>
      <xdr:rowOff>38100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B97958D-31AD-C7E1-8A6E-5A33BBFDFAB0}"/>
            </a:ext>
            <a:ext uri="{147F2762-F138-4A5C-976F-8EAC2B608ADB}">
              <a16:predDERef xmlns:a16="http://schemas.microsoft.com/office/drawing/2014/main" pred="{FE1CAE81-1D5A-1BC3-86D5-B1BE0EE7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19550" y="7258050"/>
          <a:ext cx="8629650" cy="504825"/>
        </a:xfrm>
        <a:prstGeom prst="rect">
          <a:avLst/>
        </a:prstGeom>
      </xdr:spPr>
    </xdr:pic>
    <xdr:clientData/>
  </xdr:twoCellAnchor>
  <xdr:twoCellAnchor>
    <xdr:from>
      <xdr:col>10</xdr:col>
      <xdr:colOff>76200</xdr:colOff>
      <xdr:row>3</xdr:row>
      <xdr:rowOff>161925</xdr:rowOff>
    </xdr:from>
    <xdr:to>
      <xdr:col>17</xdr:col>
      <xdr:colOff>104775</xdr:colOff>
      <xdr:row>14</xdr:row>
      <xdr:rowOff>209550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397AE2C1-BA65-742B-A3E5-428A299FAB8A}"/>
            </a:ext>
            <a:ext uri="{147F2762-F138-4A5C-976F-8EAC2B608ADB}">
              <a16:predDERef xmlns:a16="http://schemas.microsoft.com/office/drawing/2014/main" pred="{7B97958D-31AD-C7E1-8A6E-5A33BBFDF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opLeftCell="A7" workbookViewId="0">
      <selection activeCell="C24" sqref="C24:D24"/>
    </sheetView>
  </sheetViews>
  <sheetFormatPr defaultRowHeight="15"/>
  <cols>
    <col min="3" max="3" width="10.85546875" customWidth="1"/>
    <col min="4" max="4" width="9.28515625" bestFit="1" customWidth="1"/>
    <col min="5" max="5" width="10.5703125" customWidth="1"/>
    <col min="10" max="10" width="14.140625" customWidth="1"/>
  </cols>
  <sheetData>
    <row r="1" spans="1:16" ht="15" customHeight="1">
      <c r="A1" s="111" t="s">
        <v>0</v>
      </c>
      <c r="B1" s="112"/>
      <c r="C1" s="112"/>
      <c r="D1" s="112"/>
      <c r="E1" s="112"/>
      <c r="F1" s="21">
        <v>0.26300000000000001</v>
      </c>
    </row>
    <row r="2" spans="1:16" ht="15" customHeight="1">
      <c r="A2" s="110" t="s">
        <v>1</v>
      </c>
      <c r="B2" s="110"/>
      <c r="C2" s="110"/>
      <c r="D2" s="110"/>
      <c r="F2" s="1"/>
      <c r="G2" s="1"/>
    </row>
    <row r="3" spans="1:16">
      <c r="B3" s="4" t="s">
        <v>2</v>
      </c>
      <c r="C3" s="4" t="s">
        <v>3</v>
      </c>
      <c r="D3" s="4" t="s">
        <v>4</v>
      </c>
    </row>
    <row r="4" spans="1:16">
      <c r="B4" s="2">
        <v>0</v>
      </c>
      <c r="C4" s="2">
        <v>0.05</v>
      </c>
      <c r="D4" s="2">
        <v>5.0042000000000003E-2</v>
      </c>
    </row>
    <row r="5" spans="1:16">
      <c r="B5" s="2">
        <v>1</v>
      </c>
      <c r="C5" s="2">
        <v>0.1</v>
      </c>
      <c r="D5" s="2">
        <v>0.10033499999999999</v>
      </c>
    </row>
    <row r="6" spans="1:16">
      <c r="B6" s="2">
        <v>2</v>
      </c>
      <c r="C6" s="2">
        <v>0.17</v>
      </c>
      <c r="D6" s="2">
        <v>0.171657</v>
      </c>
    </row>
    <row r="7" spans="1:16">
      <c r="B7" s="2">
        <v>3</v>
      </c>
      <c r="C7" s="2">
        <v>0.25</v>
      </c>
      <c r="D7" s="2">
        <v>0.25534200000000001</v>
      </c>
    </row>
    <row r="8" spans="1:16">
      <c r="B8" s="2">
        <v>4</v>
      </c>
      <c r="C8" s="2">
        <v>0.3</v>
      </c>
      <c r="D8" s="2">
        <v>0.309336</v>
      </c>
    </row>
    <row r="9" spans="1:16">
      <c r="B9" s="2">
        <v>5</v>
      </c>
      <c r="C9" s="2">
        <v>0.36</v>
      </c>
      <c r="D9" s="2">
        <v>0.37640299999999999</v>
      </c>
    </row>
    <row r="13" spans="1:16">
      <c r="A13" s="22" t="s">
        <v>5</v>
      </c>
    </row>
    <row r="14" spans="1:16">
      <c r="A14" s="3" t="s">
        <v>2</v>
      </c>
      <c r="B14" s="3" t="s">
        <v>3</v>
      </c>
      <c r="C14" s="3" t="s">
        <v>4</v>
      </c>
      <c r="D14" s="113" t="s">
        <v>6</v>
      </c>
      <c r="E14" s="114"/>
      <c r="F14" s="114"/>
      <c r="G14" s="114"/>
      <c r="H14" s="114"/>
      <c r="I14" s="115"/>
      <c r="J14" s="13" t="s">
        <v>7</v>
      </c>
      <c r="K14" s="12" t="s">
        <v>8</v>
      </c>
      <c r="M14" s="9" t="s">
        <v>9</v>
      </c>
      <c r="N14" s="116" t="s">
        <v>10</v>
      </c>
      <c r="O14" s="116"/>
      <c r="P14" s="116"/>
    </row>
    <row r="15" spans="1:16">
      <c r="A15" s="5">
        <v>0</v>
      </c>
      <c r="B15" s="5">
        <v>0.05</v>
      </c>
      <c r="C15" s="6">
        <v>5.0042000000000003E-2</v>
      </c>
      <c r="D15" s="2">
        <f>$F$1-C4</f>
        <v>0.21300000000000002</v>
      </c>
      <c r="E15" s="2">
        <f>$C$4-$C5</f>
        <v>-0.05</v>
      </c>
      <c r="F15" s="2">
        <f>$C$4-$C6</f>
        <v>-0.12000000000000001</v>
      </c>
      <c r="G15" s="2">
        <f>C4-$C$7</f>
        <v>-0.2</v>
      </c>
      <c r="H15" s="2">
        <f>C4-$C$8</f>
        <v>-0.25</v>
      </c>
      <c r="I15" s="7">
        <f>C4-$C$9</f>
        <v>-0.31</v>
      </c>
      <c r="J15" s="14">
        <f>PRODUCT(D15:I15)</f>
        <v>-1.9809000000000006E-5</v>
      </c>
      <c r="K15" s="2">
        <f>C15/J15</f>
        <v>-2526.2254530768837</v>
      </c>
      <c r="M15" s="2">
        <f>0.263-B15</f>
        <v>0.21300000000000002</v>
      </c>
    </row>
    <row r="16" spans="1:16">
      <c r="A16" s="2">
        <v>1</v>
      </c>
      <c r="B16" s="2">
        <v>0.1</v>
      </c>
      <c r="C16" s="7">
        <v>0.10033499999999999</v>
      </c>
      <c r="D16" s="2">
        <f>C5-$C$4</f>
        <v>0.05</v>
      </c>
      <c r="E16" s="2">
        <f>F1-C5</f>
        <v>0.16300000000000001</v>
      </c>
      <c r="F16" s="2">
        <f>C5-C6</f>
        <v>-7.0000000000000007E-2</v>
      </c>
      <c r="G16" s="2">
        <f t="shared" ref="G16:G20" si="0">C5-$C$7</f>
        <v>-0.15</v>
      </c>
      <c r="H16" s="2">
        <f t="shared" ref="H16:H20" si="1">C5-$C$8</f>
        <v>-0.19999999999999998</v>
      </c>
      <c r="I16" s="7">
        <f t="shared" ref="I16:I20" si="2">C5-$C$9</f>
        <v>-0.26</v>
      </c>
      <c r="J16" s="14">
        <f t="shared" ref="J16:J20" si="3">PRODUCT(D16:I16)</f>
        <v>4.4499000000000004E-6</v>
      </c>
      <c r="K16" s="2">
        <f t="shared" ref="K16:K20" si="4">C16/J16</f>
        <v>22547.697701071931</v>
      </c>
      <c r="M16" s="2">
        <f t="shared" ref="M16:M20" si="5">0.263-B16</f>
        <v>0.16300000000000001</v>
      </c>
    </row>
    <row r="17" spans="1:13">
      <c r="A17" s="2">
        <v>2</v>
      </c>
      <c r="B17" s="2">
        <v>0.17</v>
      </c>
      <c r="C17" s="7">
        <v>0.171657</v>
      </c>
      <c r="D17" s="2">
        <f t="shared" ref="D17:D20" si="6">C6-$C$4</f>
        <v>0.12000000000000001</v>
      </c>
      <c r="E17" s="2">
        <f>C6-$C$5</f>
        <v>7.0000000000000007E-2</v>
      </c>
      <c r="F17" s="2">
        <f>F1-C6</f>
        <v>9.2999999999999999E-2</v>
      </c>
      <c r="G17" s="2">
        <f t="shared" si="0"/>
        <v>-7.9999999999999988E-2</v>
      </c>
      <c r="H17" s="2">
        <f t="shared" si="1"/>
        <v>-0.12999999999999998</v>
      </c>
      <c r="I17" s="7">
        <f t="shared" si="2"/>
        <v>-0.18999999999999997</v>
      </c>
      <c r="J17" s="14">
        <f t="shared" si="3"/>
        <v>-1.5436511999999995E-6</v>
      </c>
      <c r="K17" s="2">
        <f t="shared" si="4"/>
        <v>-111201.93473758842</v>
      </c>
      <c r="M17" s="2">
        <f t="shared" si="5"/>
        <v>9.2999999999999999E-2</v>
      </c>
    </row>
    <row r="18" spans="1:13">
      <c r="A18" s="2">
        <v>3</v>
      </c>
      <c r="B18" s="2">
        <v>0.25</v>
      </c>
      <c r="C18" s="7">
        <v>0.25534200000000001</v>
      </c>
      <c r="D18" s="2">
        <f t="shared" si="6"/>
        <v>0.2</v>
      </c>
      <c r="E18" s="2">
        <f t="shared" ref="E18:E20" si="7">C7-$C$5</f>
        <v>0.15</v>
      </c>
      <c r="F18" s="2">
        <f>C7-$C$6</f>
        <v>7.9999999999999988E-2</v>
      </c>
      <c r="G18" s="2">
        <f>F1-C7</f>
        <v>1.3000000000000012E-2</v>
      </c>
      <c r="H18" s="2">
        <f t="shared" si="1"/>
        <v>-4.9999999999999989E-2</v>
      </c>
      <c r="I18" s="7">
        <f t="shared" si="2"/>
        <v>-0.10999999999999999</v>
      </c>
      <c r="J18" s="14">
        <f t="shared" si="3"/>
        <v>1.7160000000000005E-7</v>
      </c>
      <c r="K18" s="2">
        <f t="shared" si="4"/>
        <v>1488006.9930069926</v>
      </c>
      <c r="M18" s="2">
        <f t="shared" si="5"/>
        <v>1.3000000000000012E-2</v>
      </c>
    </row>
    <row r="19" spans="1:13">
      <c r="A19" s="2">
        <v>4</v>
      </c>
      <c r="B19" s="2">
        <v>0.3</v>
      </c>
      <c r="C19" s="7">
        <v>0.309336</v>
      </c>
      <c r="D19" s="2">
        <f t="shared" si="6"/>
        <v>0.25</v>
      </c>
      <c r="E19" s="2">
        <f>C8-$C$5</f>
        <v>0.19999999999999998</v>
      </c>
      <c r="F19" s="2">
        <f t="shared" ref="F19:F20" si="8">C8-$C$6</f>
        <v>0.12999999999999998</v>
      </c>
      <c r="G19" s="2">
        <f t="shared" si="0"/>
        <v>4.9999999999999989E-2</v>
      </c>
      <c r="H19" s="2">
        <f>F1-C8</f>
        <v>-3.6999999999999977E-2</v>
      </c>
      <c r="I19" s="7">
        <f t="shared" si="2"/>
        <v>-0.06</v>
      </c>
      <c r="J19" s="14">
        <f t="shared" si="3"/>
        <v>7.2149999999999915E-7</v>
      </c>
      <c r="K19" s="2">
        <f t="shared" si="4"/>
        <v>428740.12474012526</v>
      </c>
      <c r="M19" s="2">
        <f t="shared" si="5"/>
        <v>-3.6999999999999977E-2</v>
      </c>
    </row>
    <row r="20" spans="1:13">
      <c r="A20" s="2">
        <v>5</v>
      </c>
      <c r="B20" s="2">
        <v>0.36</v>
      </c>
      <c r="C20" s="7">
        <v>0.37640299999999999</v>
      </c>
      <c r="D20" s="2">
        <f t="shared" si="6"/>
        <v>0.31</v>
      </c>
      <c r="E20" s="2">
        <f t="shared" si="7"/>
        <v>0.26</v>
      </c>
      <c r="F20" s="2">
        <f t="shared" si="8"/>
        <v>0.18999999999999997</v>
      </c>
      <c r="G20" s="2">
        <f t="shared" si="0"/>
        <v>0.10999999999999999</v>
      </c>
      <c r="H20" s="2">
        <f t="shared" si="1"/>
        <v>0.06</v>
      </c>
      <c r="I20" s="7">
        <f>F1-C9</f>
        <v>-9.6999999999999975E-2</v>
      </c>
      <c r="J20" s="14">
        <f t="shared" si="3"/>
        <v>-9.804022799999996E-6</v>
      </c>
      <c r="K20" s="2">
        <f t="shared" si="4"/>
        <v>-38392.709572238055</v>
      </c>
      <c r="M20" s="2">
        <f t="shared" si="5"/>
        <v>-9.6999999999999975E-2</v>
      </c>
    </row>
    <row r="23" spans="1:13">
      <c r="B23" s="15" t="s">
        <v>11</v>
      </c>
      <c r="C23" s="117">
        <f>PRODUCT(M15:M20)</f>
        <v>1.5064924761900002E-7</v>
      </c>
      <c r="D23" s="117"/>
    </row>
    <row r="24" spans="1:13">
      <c r="B24" s="15" t="s">
        <v>12</v>
      </c>
      <c r="C24" s="109">
        <f>SUM(K15:K20)</f>
        <v>1787173.9456852863</v>
      </c>
      <c r="D24" s="109"/>
    </row>
    <row r="26" spans="1:13">
      <c r="B26" s="16" t="s">
        <v>13</v>
      </c>
      <c r="C26" s="109">
        <f>C23*C24</f>
        <v>0.26923641028176798</v>
      </c>
      <c r="D26" s="109"/>
    </row>
  </sheetData>
  <mergeCells count="7">
    <mergeCell ref="C26:D26"/>
    <mergeCell ref="A2:D2"/>
    <mergeCell ref="A1:E1"/>
    <mergeCell ref="D14:I14"/>
    <mergeCell ref="N14:P14"/>
    <mergeCell ref="C23:D23"/>
    <mergeCell ref="C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7AE6-0784-458A-AEE4-4096D3DA4860}">
  <sheetPr>
    <pageSetUpPr fitToPage="1"/>
  </sheetPr>
  <dimension ref="A1:J24"/>
  <sheetViews>
    <sheetView workbookViewId="0">
      <selection activeCell="I11" sqref="I11"/>
    </sheetView>
  </sheetViews>
  <sheetFormatPr defaultRowHeight="15"/>
  <sheetData>
    <row r="1" spans="1:10">
      <c r="A1" s="111" t="s">
        <v>0</v>
      </c>
      <c r="B1" s="112"/>
      <c r="C1" s="112"/>
      <c r="D1" s="112"/>
      <c r="E1" s="112"/>
      <c r="F1" s="21">
        <v>0.1157</v>
      </c>
    </row>
    <row r="2" spans="1:10">
      <c r="A2" s="110" t="s">
        <v>1</v>
      </c>
      <c r="B2" s="110"/>
      <c r="C2" s="110"/>
      <c r="D2" s="110"/>
      <c r="F2" s="1"/>
    </row>
    <row r="3" spans="1:10">
      <c r="B3" s="4" t="s">
        <v>2</v>
      </c>
      <c r="C3" s="4" t="s">
        <v>3</v>
      </c>
      <c r="D3" s="4" t="s">
        <v>4</v>
      </c>
    </row>
    <row r="4" spans="1:10">
      <c r="B4" s="2">
        <v>0</v>
      </c>
      <c r="C4" s="2">
        <v>0.10100000000000001</v>
      </c>
      <c r="D4" s="2">
        <v>1.26183</v>
      </c>
    </row>
    <row r="5" spans="1:10">
      <c r="B5" s="2">
        <v>1</v>
      </c>
      <c r="C5" s="2">
        <v>0.106</v>
      </c>
      <c r="D5" s="2">
        <v>1.27644</v>
      </c>
      <c r="F5" s="9" t="s">
        <v>14</v>
      </c>
      <c r="G5" s="9" t="s">
        <v>15</v>
      </c>
      <c r="H5" s="9" t="s">
        <v>16</v>
      </c>
    </row>
    <row r="6" spans="1:10">
      <c r="B6" s="2">
        <v>2</v>
      </c>
      <c r="C6" s="2">
        <v>0.111</v>
      </c>
      <c r="D6" s="2">
        <v>1.29122</v>
      </c>
      <c r="F6" s="2">
        <f>(C5-C4)</f>
        <v>4.9999999999999906E-3</v>
      </c>
      <c r="G6" s="2">
        <f>(F1-C4)/F6</f>
        <v>2.9400000000000035</v>
      </c>
      <c r="H6" s="2">
        <v>5</v>
      </c>
    </row>
    <row r="7" spans="1:10">
      <c r="B7" s="2">
        <v>3</v>
      </c>
      <c r="C7" s="2">
        <v>0.11600000000000001</v>
      </c>
      <c r="D7" s="2">
        <v>1.3061700000000001</v>
      </c>
    </row>
    <row r="8" spans="1:10">
      <c r="B8" s="2">
        <v>4</v>
      </c>
      <c r="C8" s="2">
        <v>0.121</v>
      </c>
      <c r="D8" s="2">
        <v>1.3212999999999999</v>
      </c>
    </row>
    <row r="9" spans="1:10">
      <c r="B9" s="2">
        <v>5</v>
      </c>
      <c r="C9" s="2">
        <v>0.126</v>
      </c>
      <c r="D9" s="2">
        <v>1.3266</v>
      </c>
    </row>
    <row r="11" spans="1:10">
      <c r="A11" s="22" t="s">
        <v>5</v>
      </c>
    </row>
    <row r="12" spans="1:10">
      <c r="A12" s="3" t="s">
        <v>2</v>
      </c>
      <c r="B12" s="3" t="s">
        <v>17</v>
      </c>
      <c r="C12" s="3" t="s">
        <v>18</v>
      </c>
      <c r="D12" s="8" t="s">
        <v>19</v>
      </c>
      <c r="E12" s="11" t="s">
        <v>20</v>
      </c>
      <c r="F12" s="20" t="s">
        <v>21</v>
      </c>
      <c r="G12" s="19" t="s">
        <v>22</v>
      </c>
      <c r="H12" s="17"/>
      <c r="I12" s="17"/>
    </row>
    <row r="13" spans="1:10">
      <c r="A13" s="5">
        <v>0</v>
      </c>
      <c r="B13" s="2">
        <v>0.10100000000000001</v>
      </c>
      <c r="C13" s="2">
        <v>1.26183</v>
      </c>
      <c r="D13" s="2">
        <f>$G$6-A13</f>
        <v>2.9400000000000035</v>
      </c>
      <c r="E13" s="2">
        <f>POWER(-1,($H$6-A13))*FACT(A13)*FACT($H$6-A13)</f>
        <v>-120</v>
      </c>
      <c r="F13" s="6">
        <f>D13*E13</f>
        <v>-352.80000000000041</v>
      </c>
      <c r="G13" s="2">
        <f>C13/F13</f>
        <v>-3.5766156462584994E-3</v>
      </c>
      <c r="J13" s="18"/>
    </row>
    <row r="14" spans="1:10">
      <c r="A14" s="2">
        <v>1</v>
      </c>
      <c r="B14" s="2">
        <v>0.106</v>
      </c>
      <c r="C14" s="2">
        <v>1.27644</v>
      </c>
      <c r="D14" s="2">
        <f t="shared" ref="D14:D18" si="0">$G$6-A14</f>
        <v>1.9400000000000035</v>
      </c>
      <c r="E14" s="2">
        <f t="shared" ref="E14:E18" si="1">POWER(-1,($H$6-A14))*FACT(A14)*FACT($H$6-A14)</f>
        <v>24</v>
      </c>
      <c r="F14" s="6">
        <f t="shared" ref="F14:F18" si="2">D14*E14</f>
        <v>46.560000000000088</v>
      </c>
      <c r="G14" s="2">
        <f t="shared" ref="G14:G18" si="3">C14/F14</f>
        <v>2.7414948453608198E-2</v>
      </c>
      <c r="J14" s="18"/>
    </row>
    <row r="15" spans="1:10">
      <c r="A15" s="2">
        <v>2</v>
      </c>
      <c r="B15" s="2">
        <v>0.111</v>
      </c>
      <c r="C15" s="2">
        <v>1.29122</v>
      </c>
      <c r="D15" s="2">
        <f t="shared" si="0"/>
        <v>0.9400000000000035</v>
      </c>
      <c r="E15" s="2">
        <f t="shared" si="1"/>
        <v>-12</v>
      </c>
      <c r="F15" s="6">
        <f t="shared" si="2"/>
        <v>-11.280000000000042</v>
      </c>
      <c r="G15" s="2">
        <f t="shared" si="3"/>
        <v>-0.11446985815602795</v>
      </c>
      <c r="J15" s="18"/>
    </row>
    <row r="16" spans="1:10">
      <c r="A16" s="2">
        <v>3</v>
      </c>
      <c r="B16" s="2">
        <v>0.11600000000000001</v>
      </c>
      <c r="C16" s="2">
        <v>1.3061700000000001</v>
      </c>
      <c r="D16" s="2">
        <f t="shared" si="0"/>
        <v>-5.9999999999996501E-2</v>
      </c>
      <c r="E16" s="2">
        <f t="shared" si="1"/>
        <v>12</v>
      </c>
      <c r="F16" s="6">
        <f t="shared" si="2"/>
        <v>-0.71999999999995801</v>
      </c>
      <c r="G16" s="2">
        <f t="shared" si="3"/>
        <v>-1.8141250000001059</v>
      </c>
      <c r="J16" s="18"/>
    </row>
    <row r="17" spans="1:10">
      <c r="A17" s="2">
        <v>4</v>
      </c>
      <c r="B17" s="2">
        <v>0.121</v>
      </c>
      <c r="C17" s="2">
        <v>1.3212999999999999</v>
      </c>
      <c r="D17" s="2">
        <f t="shared" si="0"/>
        <v>-1.0599999999999965</v>
      </c>
      <c r="E17" s="2">
        <f t="shared" si="1"/>
        <v>-24</v>
      </c>
      <c r="F17" s="6">
        <f t="shared" si="2"/>
        <v>25.439999999999916</v>
      </c>
      <c r="G17" s="2">
        <f t="shared" si="3"/>
        <v>5.1937893081761173E-2</v>
      </c>
      <c r="J17" s="18"/>
    </row>
    <row r="18" spans="1:10">
      <c r="A18" s="2">
        <v>5</v>
      </c>
      <c r="B18" s="2">
        <v>0.126</v>
      </c>
      <c r="C18" s="2">
        <v>1.3266</v>
      </c>
      <c r="D18" s="2">
        <f t="shared" si="0"/>
        <v>-2.0599999999999965</v>
      </c>
      <c r="E18" s="2">
        <f t="shared" si="1"/>
        <v>120</v>
      </c>
      <c r="F18" s="6">
        <f t="shared" si="2"/>
        <v>-247.19999999999959</v>
      </c>
      <c r="G18" s="2">
        <f t="shared" si="3"/>
        <v>-5.3665048543689413E-3</v>
      </c>
      <c r="J18" s="18"/>
    </row>
    <row r="21" spans="1:10">
      <c r="B21" s="118" t="s">
        <v>23</v>
      </c>
      <c r="C21" s="119"/>
      <c r="D21" s="2">
        <f>PRODUCT(D13:D18)</f>
        <v>-0.70242708614396021</v>
      </c>
    </row>
    <row r="22" spans="1:10">
      <c r="B22" s="118" t="s">
        <v>24</v>
      </c>
      <c r="C22" s="119"/>
      <c r="D22" s="2">
        <f>SUM(G13:G18)</f>
        <v>-1.858185137121392</v>
      </c>
    </row>
    <row r="24" spans="1:10">
      <c r="B24" s="119" t="s">
        <v>25</v>
      </c>
      <c r="C24" s="120"/>
      <c r="D24" s="2">
        <f>D21*D22</f>
        <v>1.3052395713841944</v>
      </c>
    </row>
  </sheetData>
  <mergeCells count="5">
    <mergeCell ref="A1:E1"/>
    <mergeCell ref="A2:D2"/>
    <mergeCell ref="B22:C22"/>
    <mergeCell ref="B21:C21"/>
    <mergeCell ref="B24:C24"/>
  </mergeCells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111-A697-4FE6-9917-473072F10167}">
  <dimension ref="A1:G31"/>
  <sheetViews>
    <sheetView topLeftCell="A18" workbookViewId="0">
      <selection activeCell="E5" sqref="E5"/>
    </sheetView>
  </sheetViews>
  <sheetFormatPr defaultRowHeight="15"/>
  <cols>
    <col min="5" max="5" width="11.42578125" customWidth="1"/>
  </cols>
  <sheetData>
    <row r="1" spans="1:7">
      <c r="A1" s="123" t="s">
        <v>26</v>
      </c>
      <c r="B1" s="123"/>
      <c r="C1" s="123"/>
      <c r="D1" s="123"/>
      <c r="E1" s="123"/>
      <c r="F1" s="123"/>
      <c r="G1" s="123"/>
    </row>
    <row r="2" spans="1:7">
      <c r="A2" s="122" t="s">
        <v>1</v>
      </c>
      <c r="B2" s="122"/>
      <c r="C2" s="122"/>
      <c r="D2" s="122"/>
      <c r="F2" s="1"/>
    </row>
    <row r="3" spans="1:7">
      <c r="B3" s="23" t="s">
        <v>2</v>
      </c>
      <c r="C3" s="23" t="s">
        <v>3</v>
      </c>
      <c r="D3" s="23" t="s">
        <v>4</v>
      </c>
    </row>
    <row r="4" spans="1:7">
      <c r="B4" s="2">
        <v>0</v>
      </c>
      <c r="C4" s="2">
        <v>0</v>
      </c>
      <c r="D4" s="2">
        <f>SIN(C4)</f>
        <v>0</v>
      </c>
    </row>
    <row r="5" spans="1:7">
      <c r="B5" s="2">
        <v>1</v>
      </c>
      <c r="C5" s="24">
        <v>0.16666666666666666</v>
      </c>
      <c r="D5" s="25">
        <f>SIN(3.1415*C5)</f>
        <v>0.49998662654663251</v>
      </c>
    </row>
    <row r="6" spans="1:7">
      <c r="B6" s="2">
        <v>2</v>
      </c>
      <c r="C6" s="24">
        <v>0.5</v>
      </c>
      <c r="D6" s="2">
        <f>SIN(3.1415*C6)</f>
        <v>0.99999999892691405</v>
      </c>
    </row>
    <row r="9" spans="1:7">
      <c r="A9" s="124" t="s">
        <v>27</v>
      </c>
      <c r="B9" s="124"/>
      <c r="C9" s="124"/>
      <c r="D9" s="124"/>
      <c r="E9" s="124"/>
      <c r="F9" s="124"/>
      <c r="G9" s="124"/>
    </row>
    <row r="27" spans="1:7" ht="15" customHeight="1">
      <c r="A27" s="121" t="s">
        <v>28</v>
      </c>
      <c r="B27" s="121"/>
      <c r="C27" s="121"/>
      <c r="D27" s="121"/>
      <c r="E27" s="121"/>
      <c r="F27" s="121"/>
      <c r="G27" s="121"/>
    </row>
    <row r="28" spans="1:7">
      <c r="A28" s="121"/>
      <c r="B28" s="121"/>
      <c r="C28" s="121"/>
      <c r="D28" s="121"/>
      <c r="E28" s="121"/>
      <c r="F28" s="121"/>
      <c r="G28" s="12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27" t="s">
        <v>29</v>
      </c>
      <c r="C30" s="26">
        <f>(7/2)*(1/4)-3*POWER(1/4,2)</f>
        <v>0.6875</v>
      </c>
      <c r="D30" s="1"/>
      <c r="E30" s="1"/>
      <c r="F30" s="1"/>
      <c r="G30" s="1"/>
    </row>
    <row r="31" spans="1:7">
      <c r="B31" s="16" t="s">
        <v>30</v>
      </c>
      <c r="C31" s="26">
        <f>(7/2)*(1/3)-3*POWER(1/3,2)</f>
        <v>0.83333333333333326</v>
      </c>
    </row>
  </sheetData>
  <mergeCells count="4">
    <mergeCell ref="A27:G28"/>
    <mergeCell ref="A2:D2"/>
    <mergeCell ref="A1:G1"/>
    <mergeCell ref="A9:G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B5B5-361C-4861-9816-E52600745F93}">
  <dimension ref="A1:G9"/>
  <sheetViews>
    <sheetView topLeftCell="A8" workbookViewId="0">
      <selection activeCell="F28" sqref="F28"/>
    </sheetView>
  </sheetViews>
  <sheetFormatPr defaultRowHeight="15"/>
  <cols>
    <col min="3" max="3" width="8.28515625" customWidth="1"/>
  </cols>
  <sheetData>
    <row r="1" spans="1:7">
      <c r="A1" s="123" t="s">
        <v>31</v>
      </c>
      <c r="B1" s="123"/>
      <c r="C1" s="123"/>
      <c r="D1" s="123"/>
      <c r="E1" s="123"/>
      <c r="F1" s="123"/>
      <c r="G1" s="123"/>
    </row>
    <row r="2" spans="1:7">
      <c r="A2" s="122" t="s">
        <v>1</v>
      </c>
      <c r="B2" s="122"/>
      <c r="C2" s="122"/>
      <c r="D2" s="122"/>
      <c r="F2" s="1"/>
    </row>
    <row r="3" spans="1:7">
      <c r="B3" s="23" t="s">
        <v>2</v>
      </c>
      <c r="C3" s="23" t="s">
        <v>3</v>
      </c>
      <c r="D3" s="23" t="s">
        <v>4</v>
      </c>
    </row>
    <row r="4" spans="1:7">
      <c r="B4" s="2">
        <v>0</v>
      </c>
      <c r="C4" s="28">
        <v>-1</v>
      </c>
      <c r="D4" s="2">
        <f>POWER(C4,2)</f>
        <v>1</v>
      </c>
    </row>
    <row r="5" spans="1:7">
      <c r="B5" s="2">
        <v>1</v>
      </c>
      <c r="C5" s="28">
        <v>0</v>
      </c>
      <c r="D5" s="2">
        <f t="shared" ref="D5:D6" si="0">POWER(C5,2)</f>
        <v>0</v>
      </c>
    </row>
    <row r="6" spans="1:7">
      <c r="B6" s="2">
        <v>2</v>
      </c>
      <c r="C6" s="28">
        <v>1</v>
      </c>
      <c r="D6" s="2">
        <f t="shared" si="0"/>
        <v>1</v>
      </c>
    </row>
    <row r="9" spans="1:7">
      <c r="A9" s="124" t="s">
        <v>27</v>
      </c>
      <c r="B9" s="124"/>
      <c r="C9" s="124"/>
      <c r="D9" s="124"/>
      <c r="E9" s="124"/>
      <c r="F9" s="124"/>
      <c r="G9" s="124"/>
    </row>
  </sheetData>
  <mergeCells count="3">
    <mergeCell ref="A1:G1"/>
    <mergeCell ref="A2:D2"/>
    <mergeCell ref="A9:G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2D21-A95F-42F6-BFA8-C792C3E9741A}">
  <dimension ref="A1:H43"/>
  <sheetViews>
    <sheetView workbookViewId="0">
      <selection activeCell="D19" sqref="D19"/>
    </sheetView>
  </sheetViews>
  <sheetFormatPr defaultRowHeight="15"/>
  <cols>
    <col min="1" max="1" width="12.42578125" customWidth="1"/>
    <col min="2" max="2" width="11.42578125" customWidth="1"/>
    <col min="4" max="4" width="13.140625" customWidth="1"/>
    <col min="5" max="5" width="12" customWidth="1"/>
    <col min="6" max="6" width="10.42578125" bestFit="1" customWidth="1"/>
    <col min="8" max="8" width="9.28515625" bestFit="1" customWidth="1"/>
  </cols>
  <sheetData>
    <row r="1" spans="1:8" ht="18.75">
      <c r="A1" s="46" t="s">
        <v>32</v>
      </c>
      <c r="B1" s="46" t="s">
        <v>33</v>
      </c>
      <c r="C1" s="46" t="s">
        <v>34</v>
      </c>
      <c r="D1" s="46" t="s">
        <v>35</v>
      </c>
      <c r="E1" s="47"/>
      <c r="F1" s="47"/>
      <c r="G1" s="47"/>
    </row>
    <row r="2" spans="1:8" ht="18.75">
      <c r="A2" s="48">
        <v>0.10299999999999999</v>
      </c>
      <c r="B2" s="49">
        <v>2.0128400000000002</v>
      </c>
      <c r="C2" s="49">
        <f>(B3-B2)/(A3-A2)</f>
        <v>4.1159999999999606</v>
      </c>
      <c r="D2" s="49">
        <f>(C3-C2)/(A4-A2)</f>
        <v>-18.238095238089929</v>
      </c>
      <c r="E2" s="47"/>
      <c r="F2" s="47"/>
      <c r="G2" s="47"/>
    </row>
    <row r="3" spans="1:8" ht="18.75">
      <c r="A3" s="48">
        <v>0.108</v>
      </c>
      <c r="B3" s="49">
        <v>2.03342</v>
      </c>
      <c r="C3" s="49">
        <f t="shared" ref="C3:C7" si="0">(B4-B3)/(A4-A3)</f>
        <v>3.8971428571428812</v>
      </c>
      <c r="D3" s="49">
        <f t="shared" ref="D3:D6" si="1">(C4-C3)/(A5-A3)</f>
        <v>-16.761904761909015</v>
      </c>
      <c r="E3" s="47"/>
      <c r="F3" s="47"/>
      <c r="G3" s="47"/>
    </row>
    <row r="4" spans="1:8" ht="18.75">
      <c r="A4" s="48">
        <v>0.115</v>
      </c>
      <c r="B4" s="49">
        <v>2.0607000000000002</v>
      </c>
      <c r="C4" s="49">
        <f t="shared" si="0"/>
        <v>3.6959999999999731</v>
      </c>
      <c r="D4" s="49">
        <f t="shared" si="1"/>
        <v>-14.788461538461851</v>
      </c>
      <c r="E4" s="47"/>
      <c r="F4" s="47"/>
      <c r="G4" s="47"/>
    </row>
    <row r="5" spans="1:8" ht="18.75">
      <c r="A5" s="48">
        <v>0.12</v>
      </c>
      <c r="B5" s="49">
        <v>2.07918</v>
      </c>
      <c r="C5" s="49">
        <f t="shared" si="0"/>
        <v>3.5037499999999691</v>
      </c>
      <c r="D5" s="49">
        <f t="shared" si="1"/>
        <v>-13.28124999999679</v>
      </c>
      <c r="E5" s="47"/>
      <c r="F5" s="47"/>
      <c r="G5" s="47"/>
      <c r="H5" s="10"/>
    </row>
    <row r="6" spans="1:8" ht="18.75">
      <c r="A6" s="48">
        <v>0.128</v>
      </c>
      <c r="B6" s="49">
        <v>2.1072099999999998</v>
      </c>
      <c r="C6" s="49">
        <f t="shared" si="0"/>
        <v>3.2912500000000202</v>
      </c>
      <c r="D6" s="49">
        <f t="shared" si="1"/>
        <v>-11.942307692306008</v>
      </c>
      <c r="E6" s="47"/>
      <c r="F6" s="47"/>
      <c r="G6" s="47"/>
    </row>
    <row r="7" spans="1:8" ht="18.75">
      <c r="A7" s="48">
        <v>0.13600000000000001</v>
      </c>
      <c r="B7" s="49">
        <v>2.13354</v>
      </c>
      <c r="C7" s="49">
        <f t="shared" si="0"/>
        <v>3.1360000000000423</v>
      </c>
      <c r="D7" s="49">
        <f>(C8-C7)/(A9-A7)</f>
        <v>-10.746031746037129</v>
      </c>
      <c r="E7" s="47"/>
      <c r="F7" s="47"/>
      <c r="G7" s="47"/>
    </row>
    <row r="8" spans="1:8" ht="18.75">
      <c r="A8" s="48">
        <v>0.14099999999999999</v>
      </c>
      <c r="B8" s="49">
        <v>2.1492200000000001</v>
      </c>
      <c r="C8" s="49">
        <f>(B9-B8)/(A9-A8)</f>
        <v>2.9855555555555227</v>
      </c>
      <c r="D8" s="50" t="s">
        <v>36</v>
      </c>
      <c r="E8" s="47"/>
      <c r="F8" s="47"/>
      <c r="G8" s="47"/>
    </row>
    <row r="9" spans="1:8" ht="18.75">
      <c r="A9" s="48">
        <v>0.15</v>
      </c>
      <c r="B9" s="49">
        <v>2.1760899999999999</v>
      </c>
      <c r="C9" s="50" t="s">
        <v>36</v>
      </c>
      <c r="D9" s="50" t="s">
        <v>36</v>
      </c>
      <c r="E9" s="47"/>
      <c r="F9" s="47"/>
      <c r="G9" s="47"/>
    </row>
    <row r="10" spans="1:8" ht="18.75">
      <c r="A10" s="47"/>
      <c r="B10" s="47"/>
      <c r="C10" s="47"/>
      <c r="D10" s="47"/>
      <c r="E10" s="47"/>
      <c r="F10" s="47"/>
      <c r="G10" s="47"/>
    </row>
    <row r="11" spans="1:8" ht="18.75">
      <c r="A11" s="47"/>
      <c r="B11" s="47"/>
      <c r="C11" s="47"/>
      <c r="D11" s="47"/>
      <c r="E11" s="47"/>
      <c r="F11" s="47"/>
      <c r="G11" s="47"/>
    </row>
    <row r="12" spans="1:8" ht="18.75">
      <c r="A12" s="129" t="s">
        <v>37</v>
      </c>
      <c r="B12" s="129"/>
      <c r="C12" s="129"/>
      <c r="D12" s="47"/>
      <c r="E12" s="129" t="s">
        <v>38</v>
      </c>
      <c r="F12" s="129"/>
      <c r="G12" s="129"/>
    </row>
    <row r="13" spans="1:8" ht="18.75">
      <c r="A13" s="132" t="s">
        <v>39</v>
      </c>
      <c r="B13" s="133"/>
      <c r="C13" s="134"/>
      <c r="D13" s="47"/>
      <c r="E13" s="125" t="s">
        <v>40</v>
      </c>
      <c r="F13" s="125"/>
      <c r="G13" s="126"/>
    </row>
    <row r="14" spans="1:8" ht="18.75">
      <c r="A14" s="106" t="s">
        <v>41</v>
      </c>
      <c r="B14" s="107">
        <f>B2+C2*(0.112-A2)+D2*(0.112-A2)*(0.112-A3)</f>
        <v>2.0492274285714287</v>
      </c>
      <c r="C14" s="105"/>
      <c r="D14" s="47"/>
      <c r="E14" s="106" t="s">
        <v>42</v>
      </c>
      <c r="F14" s="107">
        <f>B5+C5*(0.133-A5)+D5*(0.133-A5)*(0.133-A6)</f>
        <v>2.1238654687499996</v>
      </c>
      <c r="G14" s="105"/>
    </row>
    <row r="15" spans="1:8" ht="18.75">
      <c r="A15" s="135" t="s">
        <v>43</v>
      </c>
      <c r="B15" s="136"/>
      <c r="C15" s="134"/>
      <c r="D15" s="47"/>
      <c r="E15" s="130" t="s">
        <v>44</v>
      </c>
      <c r="F15" s="130"/>
      <c r="G15" s="126"/>
    </row>
    <row r="16" spans="1:8" ht="18.75">
      <c r="A16" s="49" t="s">
        <v>41</v>
      </c>
      <c r="B16" s="51">
        <f>B3+C3*(0.112-A3)+D3*(0.112-A3)*(0.112-A4)</f>
        <v>2.0492097142857149</v>
      </c>
      <c r="C16" s="49"/>
      <c r="D16" s="47"/>
      <c r="E16" s="106" t="s">
        <v>42</v>
      </c>
      <c r="F16" s="107">
        <f>B6+C6*(0.133-A6)+D6*(0.133-A6)*(0.133-A7)</f>
        <v>2.1238453846153846</v>
      </c>
      <c r="G16" s="105"/>
    </row>
    <row r="17" spans="1:7" ht="18.75">
      <c r="A17" s="125" t="s">
        <v>45</v>
      </c>
      <c r="B17" s="126"/>
      <c r="C17" s="126"/>
      <c r="D17" s="47"/>
      <c r="E17" s="130" t="s">
        <v>45</v>
      </c>
      <c r="F17" s="131"/>
      <c r="G17" s="126"/>
    </row>
    <row r="18" spans="1:7" ht="18.75">
      <c r="A18" s="104"/>
      <c r="B18" s="127" t="s">
        <v>46</v>
      </c>
      <c r="C18" s="128"/>
      <c r="D18" s="47"/>
      <c r="E18" s="104"/>
      <c r="F18" s="127" t="s">
        <v>47</v>
      </c>
      <c r="G18" s="128"/>
    </row>
    <row r="19" spans="1:7" ht="18.75">
      <c r="A19" s="47"/>
      <c r="B19" s="47"/>
      <c r="C19" s="47"/>
      <c r="D19" s="47"/>
      <c r="E19" s="47"/>
      <c r="F19" s="47"/>
      <c r="G19" s="52"/>
    </row>
    <row r="20" spans="1:7" ht="18.75">
      <c r="A20" s="47"/>
      <c r="B20" s="47"/>
      <c r="C20" s="47"/>
      <c r="D20" s="47"/>
      <c r="E20" s="47"/>
      <c r="F20" s="47"/>
      <c r="G20" s="52"/>
    </row>
    <row r="21" spans="1:7" ht="18.75">
      <c r="A21" s="47"/>
      <c r="B21" s="47"/>
      <c r="C21" s="47"/>
      <c r="D21" s="47"/>
      <c r="E21" s="47"/>
      <c r="F21" s="47"/>
      <c r="G21" s="47"/>
    </row>
    <row r="22" spans="1:7" ht="18.75">
      <c r="A22" s="47"/>
      <c r="B22" s="47"/>
      <c r="C22" s="47"/>
      <c r="D22" s="47"/>
      <c r="E22" s="47"/>
      <c r="F22" s="47"/>
      <c r="G22" s="47"/>
    </row>
    <row r="23" spans="1:7" ht="18.75">
      <c r="A23" s="47"/>
      <c r="B23" s="47"/>
      <c r="C23" s="47"/>
      <c r="D23" s="47"/>
      <c r="E23" s="47"/>
      <c r="F23" s="47"/>
      <c r="G23" s="47"/>
    </row>
    <row r="24" spans="1:7" ht="18.75">
      <c r="A24" s="47"/>
      <c r="B24" s="47"/>
      <c r="C24" s="47"/>
      <c r="D24" s="47"/>
      <c r="E24" s="47"/>
      <c r="F24" s="47"/>
      <c r="G24" s="47"/>
    </row>
    <row r="25" spans="1:7" ht="18.75">
      <c r="A25" s="47"/>
      <c r="B25" s="47"/>
      <c r="C25" s="47"/>
      <c r="D25" s="47"/>
      <c r="E25" s="47"/>
      <c r="F25" s="47"/>
      <c r="G25" s="47"/>
    </row>
    <row r="26" spans="1:7" ht="18.75">
      <c r="A26" s="48">
        <v>0.10299999999999999</v>
      </c>
      <c r="B26" s="49">
        <v>2.0128400000000002</v>
      </c>
      <c r="C26" s="47"/>
      <c r="D26" s="47"/>
      <c r="E26" s="47"/>
      <c r="F26" s="47"/>
      <c r="G26" s="47"/>
    </row>
    <row r="27" spans="1:7" ht="18.75">
      <c r="A27" s="48">
        <v>0.108</v>
      </c>
      <c r="B27" s="102">
        <v>2.03342</v>
      </c>
      <c r="C27" s="47"/>
      <c r="D27" s="47"/>
      <c r="E27" s="47"/>
      <c r="F27" s="47"/>
      <c r="G27" s="47"/>
    </row>
    <row r="28" spans="1:7" ht="18.75">
      <c r="A28" s="47">
        <v>0.112</v>
      </c>
      <c r="B28" s="49">
        <v>2.04922</v>
      </c>
      <c r="C28" s="47"/>
      <c r="D28" s="47"/>
      <c r="E28" s="47"/>
      <c r="F28" s="47"/>
      <c r="G28" s="47"/>
    </row>
    <row r="29" spans="1:7" ht="18.75">
      <c r="A29" s="48">
        <v>0.115</v>
      </c>
      <c r="B29" s="103">
        <v>2.0607000000000002</v>
      </c>
      <c r="C29" s="47"/>
      <c r="D29" s="47"/>
      <c r="E29" s="47"/>
      <c r="F29" s="47"/>
      <c r="G29" s="47"/>
    </row>
    <row r="30" spans="1:7" ht="18.75">
      <c r="A30" s="48">
        <v>0.12</v>
      </c>
      <c r="B30" s="49">
        <v>2.07918</v>
      </c>
      <c r="C30" s="47"/>
      <c r="D30" s="47"/>
      <c r="E30" s="47"/>
      <c r="F30" s="47"/>
      <c r="G30" s="47"/>
    </row>
    <row r="31" spans="1:7" ht="18.75">
      <c r="A31" s="48">
        <v>0.128</v>
      </c>
      <c r="B31" s="49">
        <v>2.1072099999999998</v>
      </c>
      <c r="C31" s="47"/>
      <c r="D31" s="47"/>
      <c r="E31" s="47"/>
      <c r="F31" s="47"/>
      <c r="G31" s="47"/>
    </row>
    <row r="32" spans="1:7" ht="18.75">
      <c r="A32" s="47">
        <v>0.13300000000000001</v>
      </c>
      <c r="B32" s="53">
        <v>2.1238600000000001</v>
      </c>
      <c r="C32" s="47"/>
      <c r="D32" s="47"/>
      <c r="E32" s="47"/>
      <c r="F32" s="47"/>
      <c r="G32" s="47"/>
    </row>
    <row r="33" spans="1:7" ht="18.75">
      <c r="A33" s="48">
        <v>0.13600000000000001</v>
      </c>
      <c r="B33" s="49">
        <v>2.13354</v>
      </c>
      <c r="C33" s="47"/>
      <c r="D33" s="47"/>
      <c r="E33" s="47"/>
      <c r="F33" s="47"/>
      <c r="G33" s="47"/>
    </row>
    <row r="34" spans="1:7" ht="18.75">
      <c r="A34" s="48">
        <v>0.14099999999999999</v>
      </c>
      <c r="B34" s="49">
        <v>2.1492200000000001</v>
      </c>
      <c r="C34" s="29"/>
      <c r="D34" s="29"/>
      <c r="E34" s="29"/>
      <c r="F34" s="29"/>
      <c r="G34" s="29"/>
    </row>
    <row r="35" spans="1:7" ht="18.75">
      <c r="A35" s="48">
        <v>0.15</v>
      </c>
      <c r="B35" s="49">
        <v>2.1760899999999999</v>
      </c>
      <c r="C35" s="29"/>
      <c r="D35" s="29"/>
      <c r="E35" s="29"/>
      <c r="F35" s="29"/>
      <c r="G35" s="29"/>
    </row>
    <row r="36" spans="1:7" ht="15.75">
      <c r="A36" s="29"/>
      <c r="B36" s="29"/>
      <c r="C36" s="29"/>
      <c r="D36" s="29"/>
      <c r="E36" s="29"/>
      <c r="F36" s="29"/>
      <c r="G36" s="29"/>
    </row>
    <row r="37" spans="1:7" ht="15.75">
      <c r="A37" s="29"/>
      <c r="B37" s="29"/>
      <c r="C37" s="29"/>
      <c r="D37" s="29"/>
      <c r="E37" s="29"/>
      <c r="F37" s="29"/>
      <c r="G37" s="29"/>
    </row>
    <row r="38" spans="1:7" ht="15.75">
      <c r="A38" s="29"/>
      <c r="B38" s="29"/>
      <c r="C38" s="29"/>
      <c r="D38" s="29"/>
      <c r="E38" s="29"/>
      <c r="F38" s="29"/>
      <c r="G38" s="29"/>
    </row>
    <row r="39" spans="1:7" ht="15.75">
      <c r="A39" s="29"/>
      <c r="B39" s="29"/>
      <c r="C39" s="29"/>
      <c r="D39" s="29"/>
      <c r="E39" s="29"/>
      <c r="F39" s="29"/>
      <c r="G39" s="29"/>
    </row>
    <row r="40" spans="1:7" ht="15.75">
      <c r="A40" s="29"/>
      <c r="B40" s="29"/>
      <c r="C40" s="29"/>
      <c r="D40" s="29"/>
      <c r="E40" s="29"/>
      <c r="F40" s="29"/>
      <c r="G40" s="29"/>
    </row>
    <row r="41" spans="1:7" ht="15.75">
      <c r="A41" s="29"/>
      <c r="B41" s="29"/>
      <c r="C41" s="29"/>
      <c r="D41" s="29"/>
      <c r="E41" s="29"/>
      <c r="F41" s="29"/>
      <c r="G41" s="29"/>
    </row>
    <row r="42" spans="1:7" ht="15.75">
      <c r="A42" s="29"/>
      <c r="B42" s="29"/>
      <c r="C42" s="29"/>
      <c r="D42" s="29"/>
      <c r="E42" s="29"/>
      <c r="F42" s="29"/>
      <c r="G42" s="29"/>
    </row>
    <row r="43" spans="1:7" ht="15.75">
      <c r="A43" s="29"/>
      <c r="B43" s="29"/>
      <c r="C43" s="29"/>
      <c r="D43" s="29"/>
      <c r="E43" s="29"/>
      <c r="F43" s="29"/>
      <c r="G43" s="29"/>
    </row>
  </sheetData>
  <mergeCells count="10">
    <mergeCell ref="A17:C17"/>
    <mergeCell ref="B18:C18"/>
    <mergeCell ref="E12:G12"/>
    <mergeCell ref="E17:G17"/>
    <mergeCell ref="F18:G18"/>
    <mergeCell ref="A13:C13"/>
    <mergeCell ref="A15:C15"/>
    <mergeCell ref="E13:G13"/>
    <mergeCell ref="E15:G15"/>
    <mergeCell ref="A12:C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17C7-CA41-4C52-A758-B6301FBBE514}">
  <dimension ref="A1:U92"/>
  <sheetViews>
    <sheetView topLeftCell="A4" workbookViewId="0">
      <selection activeCell="B21" sqref="B21"/>
    </sheetView>
  </sheetViews>
  <sheetFormatPr defaultRowHeight="15"/>
  <cols>
    <col min="2" max="2" width="13.42578125" customWidth="1"/>
    <col min="8" max="8" width="9.7109375" customWidth="1"/>
    <col min="9" max="9" width="14.42578125" customWidth="1"/>
  </cols>
  <sheetData>
    <row r="1" spans="1:21">
      <c r="A1" s="138" t="s">
        <v>48</v>
      </c>
      <c r="B1" s="139"/>
    </row>
    <row r="2" spans="1:21">
      <c r="A2" s="140"/>
      <c r="B2" s="141"/>
    </row>
    <row r="3" spans="1:21" ht="21">
      <c r="A3" s="144" t="s">
        <v>49</v>
      </c>
      <c r="B3" s="144"/>
    </row>
    <row r="5" spans="1:21" ht="16.5">
      <c r="A5" s="142" t="s">
        <v>1</v>
      </c>
      <c r="B5" s="142"/>
      <c r="C5" s="30"/>
      <c r="D5" s="30"/>
      <c r="E5" s="30"/>
      <c r="F5" s="143" t="s">
        <v>50</v>
      </c>
      <c r="G5" s="143"/>
      <c r="H5" s="143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1"/>
      <c r="U5" s="31"/>
    </row>
    <row r="6" spans="1:21" ht="16.5">
      <c r="A6" s="34" t="s">
        <v>3</v>
      </c>
      <c r="B6" s="34" t="s">
        <v>4</v>
      </c>
      <c r="F6" s="35" t="s">
        <v>51</v>
      </c>
      <c r="G6" s="36" t="s">
        <v>52</v>
      </c>
      <c r="H6" s="36" t="s">
        <v>53</v>
      </c>
      <c r="I6" s="30"/>
      <c r="J6" s="30"/>
      <c r="K6" s="30"/>
      <c r="L6" s="30"/>
      <c r="M6" s="31"/>
      <c r="N6" s="31"/>
      <c r="O6" s="31"/>
      <c r="P6" s="31"/>
      <c r="Q6" s="31"/>
      <c r="R6" s="31"/>
      <c r="S6" s="31"/>
      <c r="T6" s="31"/>
      <c r="U6" s="31"/>
    </row>
    <row r="7" spans="1:21" ht="16.5">
      <c r="A7" s="33">
        <v>1</v>
      </c>
      <c r="B7" s="32">
        <v>0.8427</v>
      </c>
      <c r="C7" s="30"/>
      <c r="D7" s="30"/>
      <c r="E7" s="30"/>
      <c r="F7" s="32">
        <f>(B8-B7)</f>
        <v>3.7499999999999978E-2</v>
      </c>
      <c r="G7" s="32">
        <f>(F8-F7)</f>
        <v>-7.3999999999999622E-3</v>
      </c>
      <c r="H7" s="32">
        <f>G8-G7</f>
        <v>1.0000000000000009E-3</v>
      </c>
      <c r="I7" s="30"/>
      <c r="J7" s="30"/>
      <c r="K7" s="30"/>
      <c r="L7" s="30"/>
      <c r="M7" s="31"/>
      <c r="N7" s="31"/>
      <c r="O7" s="31"/>
      <c r="P7" s="31"/>
      <c r="Q7" s="31"/>
      <c r="R7" s="31"/>
      <c r="S7" s="31"/>
      <c r="T7" s="31"/>
      <c r="U7" s="31"/>
    </row>
    <row r="8" spans="1:21" ht="16.5">
      <c r="A8" s="33">
        <v>1.1000000000000001</v>
      </c>
      <c r="B8" s="32">
        <v>0.88019999999999998</v>
      </c>
      <c r="C8" s="30"/>
      <c r="D8" s="30"/>
      <c r="E8" s="30"/>
      <c r="F8" s="32">
        <f t="shared" ref="F8:F16" si="0">(B9-B8)</f>
        <v>3.0100000000000016E-2</v>
      </c>
      <c r="G8" s="32">
        <f t="shared" ref="G8:G15" si="1">(F9-F8)</f>
        <v>-6.3999999999999613E-3</v>
      </c>
      <c r="H8" s="32">
        <f t="shared" ref="H8:H14" si="2">G9-G8</f>
        <v>9.9999999999988987E-4</v>
      </c>
      <c r="I8" s="30"/>
      <c r="J8" s="30"/>
      <c r="K8" s="30"/>
      <c r="L8" s="30"/>
      <c r="M8" s="31"/>
      <c r="N8" s="31"/>
      <c r="O8" s="31"/>
      <c r="P8" s="31"/>
      <c r="Q8" s="31"/>
      <c r="R8" s="31"/>
      <c r="S8" s="31"/>
      <c r="T8" s="31"/>
      <c r="U8" s="31"/>
    </row>
    <row r="9" spans="1:21" ht="16.5">
      <c r="A9" s="33">
        <v>1.2</v>
      </c>
      <c r="B9" s="32">
        <v>0.9103</v>
      </c>
      <c r="C9" s="30"/>
      <c r="D9" s="30"/>
      <c r="E9" s="30"/>
      <c r="F9" s="32">
        <f t="shared" si="0"/>
        <v>2.3700000000000054E-2</v>
      </c>
      <c r="G9" s="32">
        <f t="shared" si="1"/>
        <v>-5.4000000000000714E-3</v>
      </c>
      <c r="H9" s="32">
        <f t="shared" si="2"/>
        <v>9.000000000000119E-4</v>
      </c>
      <c r="I9" s="30"/>
      <c r="J9" s="30"/>
      <c r="K9" s="30"/>
      <c r="L9" s="30"/>
      <c r="M9" s="31"/>
      <c r="N9" s="31"/>
      <c r="O9" s="31"/>
      <c r="P9" s="31"/>
      <c r="Q9" s="31"/>
      <c r="R9" s="31"/>
      <c r="S9" s="31"/>
      <c r="T9" s="31"/>
      <c r="U9" s="31"/>
    </row>
    <row r="10" spans="1:21" ht="16.5">
      <c r="A10" s="32">
        <v>1.3</v>
      </c>
      <c r="B10" s="32">
        <v>0.93400000000000005</v>
      </c>
      <c r="C10" s="30"/>
      <c r="D10" s="30"/>
      <c r="E10" s="30"/>
      <c r="F10" s="32">
        <f t="shared" si="0"/>
        <v>1.8299999999999983E-2</v>
      </c>
      <c r="G10" s="32">
        <f t="shared" si="1"/>
        <v>-4.5000000000000595E-3</v>
      </c>
      <c r="H10" s="32">
        <f t="shared" si="2"/>
        <v>9.0000000000012292E-4</v>
      </c>
      <c r="I10" s="30"/>
      <c r="J10" s="30"/>
      <c r="K10" s="30"/>
      <c r="L10" s="30"/>
      <c r="M10" s="31"/>
      <c r="N10" s="31"/>
      <c r="O10" s="31"/>
      <c r="P10" s="31"/>
      <c r="Q10" s="31"/>
      <c r="R10" s="31"/>
      <c r="S10" s="31"/>
      <c r="T10" s="31"/>
      <c r="U10" s="31"/>
    </row>
    <row r="11" spans="1:21" ht="16.5">
      <c r="A11" s="32">
        <v>1.4</v>
      </c>
      <c r="B11" s="32">
        <v>0.95230000000000004</v>
      </c>
      <c r="C11" s="30"/>
      <c r="D11" s="30"/>
      <c r="E11" s="30"/>
      <c r="F11" s="32">
        <f t="shared" si="0"/>
        <v>1.3799999999999923E-2</v>
      </c>
      <c r="G11" s="32">
        <f t="shared" si="1"/>
        <v>-3.5999999999999366E-3</v>
      </c>
      <c r="H11" s="32">
        <f t="shared" si="2"/>
        <v>9.000000000000119E-4</v>
      </c>
      <c r="I11" s="30"/>
      <c r="J11" s="30"/>
      <c r="K11" s="30"/>
      <c r="L11" s="30"/>
      <c r="M11" s="31"/>
      <c r="N11" s="31"/>
      <c r="O11" s="31"/>
      <c r="P11" s="31"/>
      <c r="Q11" s="31"/>
      <c r="R11" s="31"/>
      <c r="S11" s="31"/>
      <c r="T11" s="31"/>
      <c r="U11" s="31"/>
    </row>
    <row r="12" spans="1:21" ht="16.5">
      <c r="A12" s="32">
        <v>1.5</v>
      </c>
      <c r="B12" s="32">
        <v>0.96609999999999996</v>
      </c>
      <c r="C12" s="30"/>
      <c r="D12" s="30"/>
      <c r="E12" s="30"/>
      <c r="F12" s="32">
        <f t="shared" si="0"/>
        <v>1.0199999999999987E-2</v>
      </c>
      <c r="G12" s="32">
        <f t="shared" si="1"/>
        <v>-2.6999999999999247E-3</v>
      </c>
      <c r="H12" s="32">
        <f t="shared" si="2"/>
        <v>4.9999999999983391E-4</v>
      </c>
      <c r="I12" s="30"/>
      <c r="J12" s="30"/>
      <c r="K12" s="30"/>
      <c r="L12" s="30"/>
      <c r="M12" s="31"/>
      <c r="N12" s="31"/>
      <c r="O12" s="31"/>
      <c r="P12" s="31"/>
      <c r="Q12" s="31"/>
      <c r="R12" s="31"/>
      <c r="S12" s="31"/>
      <c r="T12" s="31"/>
      <c r="U12" s="31"/>
    </row>
    <row r="13" spans="1:21" ht="16.5">
      <c r="A13" s="32">
        <v>1.6</v>
      </c>
      <c r="B13" s="32">
        <v>0.97629999999999995</v>
      </c>
      <c r="C13" s="30"/>
      <c r="D13" s="30"/>
      <c r="E13" s="30"/>
      <c r="F13" s="32">
        <f t="shared" si="0"/>
        <v>7.5000000000000622E-3</v>
      </c>
      <c r="G13" s="32">
        <f t="shared" si="1"/>
        <v>-2.2000000000000908E-3</v>
      </c>
      <c r="H13" s="32">
        <f t="shared" si="2"/>
        <v>6.0000000000015596E-4</v>
      </c>
      <c r="I13" s="30"/>
      <c r="J13" s="30"/>
      <c r="K13" s="30"/>
      <c r="L13" s="30"/>
      <c r="M13" s="31"/>
      <c r="N13" s="31"/>
      <c r="O13" s="31"/>
      <c r="P13" s="31"/>
      <c r="Q13" s="31"/>
      <c r="R13" s="31"/>
      <c r="S13" s="31"/>
      <c r="T13" s="31"/>
      <c r="U13" s="31"/>
    </row>
    <row r="14" spans="1:21" ht="16.5">
      <c r="A14" s="32">
        <v>1.7</v>
      </c>
      <c r="B14" s="32">
        <v>0.98380000000000001</v>
      </c>
      <c r="C14" s="30"/>
      <c r="D14" s="30"/>
      <c r="E14" s="30"/>
      <c r="F14" s="32">
        <f t="shared" si="0"/>
        <v>5.2999999999999714E-3</v>
      </c>
      <c r="G14" s="32">
        <f t="shared" si="1"/>
        <v>-1.5999999999999348E-3</v>
      </c>
      <c r="H14" s="32">
        <f t="shared" si="2"/>
        <v>3.9999999999984492E-4</v>
      </c>
      <c r="I14" s="30"/>
      <c r="J14" s="30"/>
      <c r="K14" s="30"/>
      <c r="L14" s="30"/>
      <c r="M14" s="31"/>
      <c r="N14" s="31"/>
      <c r="O14" s="31"/>
      <c r="P14" s="31"/>
      <c r="Q14" s="31"/>
      <c r="R14" s="31"/>
      <c r="S14" s="31"/>
      <c r="T14" s="31"/>
      <c r="U14" s="31"/>
    </row>
    <row r="15" spans="1:21" ht="16.5">
      <c r="A15" s="32">
        <v>1.8</v>
      </c>
      <c r="B15" s="32">
        <v>0.98909999999999998</v>
      </c>
      <c r="C15" s="30"/>
      <c r="D15" s="30"/>
      <c r="E15" s="30"/>
      <c r="F15" s="32">
        <f t="shared" si="0"/>
        <v>3.7000000000000366E-3</v>
      </c>
      <c r="G15" s="32">
        <f t="shared" si="1"/>
        <v>-1.2000000000000899E-3</v>
      </c>
      <c r="H15" s="37" t="s">
        <v>36</v>
      </c>
      <c r="I15" s="30"/>
      <c r="J15" s="30"/>
      <c r="K15" s="30"/>
      <c r="L15" s="30"/>
      <c r="M15" s="31"/>
      <c r="N15" s="31"/>
      <c r="O15" s="31"/>
      <c r="P15" s="31"/>
      <c r="Q15" s="31"/>
      <c r="R15" s="31"/>
      <c r="S15" s="31"/>
      <c r="T15" s="31"/>
      <c r="U15" s="31"/>
    </row>
    <row r="16" spans="1:21" ht="16.5">
      <c r="A16" s="32">
        <v>1.9</v>
      </c>
      <c r="B16" s="32">
        <v>0.99280000000000002</v>
      </c>
      <c r="C16" s="30"/>
      <c r="D16" s="30"/>
      <c r="E16" s="30"/>
      <c r="F16" s="32">
        <f t="shared" si="0"/>
        <v>2.4999999999999467E-3</v>
      </c>
      <c r="G16" s="37" t="s">
        <v>36</v>
      </c>
      <c r="H16" s="37" t="s">
        <v>36</v>
      </c>
      <c r="I16" s="30"/>
      <c r="J16" s="30"/>
      <c r="K16" s="30"/>
      <c r="L16" s="30"/>
      <c r="M16" s="31"/>
      <c r="N16" s="31"/>
      <c r="O16" s="31"/>
      <c r="P16" s="31"/>
      <c r="Q16" s="31"/>
      <c r="R16" s="31"/>
      <c r="S16" s="31"/>
      <c r="T16" s="31"/>
      <c r="U16" s="31"/>
    </row>
    <row r="17" spans="1:21" ht="16.5">
      <c r="A17" s="32">
        <v>2</v>
      </c>
      <c r="B17" s="32">
        <v>0.99529999999999996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1"/>
      <c r="O17" s="31"/>
      <c r="P17" s="31"/>
      <c r="Q17" s="31"/>
      <c r="R17" s="31"/>
      <c r="S17" s="31"/>
      <c r="T17" s="31"/>
      <c r="U17" s="31"/>
    </row>
    <row r="18" spans="1:21" ht="16.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1"/>
      <c r="O18" s="31"/>
      <c r="P18" s="31"/>
      <c r="Q18" s="31"/>
      <c r="R18" s="31"/>
      <c r="S18" s="31"/>
      <c r="T18" s="31"/>
      <c r="U18" s="31"/>
    </row>
    <row r="19" spans="1:21" ht="16.5">
      <c r="A19" s="40" t="s">
        <v>54</v>
      </c>
      <c r="B19" s="41">
        <f>A11</f>
        <v>1.4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1"/>
      <c r="O19" s="31"/>
      <c r="P19" s="31"/>
      <c r="Q19" s="31"/>
      <c r="R19" s="31"/>
      <c r="S19" s="31"/>
      <c r="T19" s="31"/>
      <c r="U19" s="31"/>
    </row>
    <row r="20" spans="1:21" ht="16.5">
      <c r="A20" s="40" t="s">
        <v>55</v>
      </c>
      <c r="B20" s="42">
        <f>A8-A7</f>
        <v>0.10000000000000009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1"/>
      <c r="O20" s="31"/>
      <c r="P20" s="31"/>
      <c r="Q20" s="31"/>
      <c r="R20" s="31"/>
      <c r="S20" s="31"/>
      <c r="T20" s="31"/>
      <c r="U20" s="31"/>
    </row>
    <row r="21" spans="1:21" ht="16.5">
      <c r="A21" s="38" t="s">
        <v>56</v>
      </c>
      <c r="B21" s="39">
        <f>(1.43-B19)/B20</f>
        <v>0.3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31"/>
      <c r="O21" s="31"/>
      <c r="P21" s="31"/>
      <c r="Q21" s="31"/>
      <c r="R21" s="31"/>
      <c r="S21" s="31"/>
      <c r="T21" s="31"/>
      <c r="U21" s="31"/>
    </row>
    <row r="22" spans="1:21" ht="16.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31"/>
      <c r="O22" s="31"/>
      <c r="P22" s="31"/>
      <c r="Q22" s="31"/>
      <c r="R22" s="31"/>
      <c r="S22" s="31"/>
      <c r="T22" s="31"/>
      <c r="U22" s="31"/>
    </row>
    <row r="23" spans="1:21" ht="16.5">
      <c r="A23" s="43" t="s">
        <v>57</v>
      </c>
      <c r="B23" s="44">
        <f>B11+B21*F11+(B21*(B21-1)/FACT(2))*G11+((B21*(B21-1)*(B21-2))/FACT(3))*H11</f>
        <v>0.9568715499999999</v>
      </c>
      <c r="C23" s="45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1"/>
      <c r="O23" s="31"/>
      <c r="P23" s="31"/>
      <c r="Q23" s="31"/>
      <c r="R23" s="31"/>
      <c r="S23" s="31"/>
      <c r="T23" s="31"/>
      <c r="U23" s="31"/>
    </row>
    <row r="24" spans="1:21" ht="16.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  <c r="N24" s="31"/>
      <c r="O24" s="31"/>
      <c r="P24" s="31"/>
      <c r="Q24" s="31"/>
      <c r="R24" s="31"/>
      <c r="S24" s="31"/>
      <c r="T24" s="31"/>
      <c r="U24" s="31"/>
    </row>
    <row r="25" spans="1:21" ht="16.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  <c r="N25" s="31"/>
      <c r="O25" s="31"/>
      <c r="P25" s="31"/>
      <c r="Q25" s="31"/>
      <c r="R25" s="31"/>
      <c r="S25" s="31"/>
      <c r="T25" s="31"/>
      <c r="U25" s="31"/>
    </row>
    <row r="26" spans="1:21" ht="16.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1"/>
      <c r="N26" s="31"/>
      <c r="O26" s="31"/>
      <c r="P26" s="31"/>
      <c r="Q26" s="31"/>
      <c r="R26" s="31"/>
      <c r="S26" s="31"/>
      <c r="T26" s="31"/>
      <c r="U26" s="31"/>
    </row>
    <row r="27" spans="1:21" ht="16.5">
      <c r="A27" s="138" t="s">
        <v>58</v>
      </c>
      <c r="B27" s="139"/>
      <c r="I27" s="30"/>
      <c r="J27" s="30"/>
      <c r="K27" s="30"/>
      <c r="L27" s="30"/>
      <c r="M27" s="31"/>
      <c r="N27" s="31"/>
      <c r="O27" s="31"/>
      <c r="P27" s="31"/>
      <c r="Q27" s="31"/>
      <c r="R27" s="31"/>
      <c r="S27" s="31"/>
      <c r="T27" s="31"/>
      <c r="U27" s="31"/>
    </row>
    <row r="28" spans="1:21" ht="16.5">
      <c r="A28" s="140"/>
      <c r="B28" s="141"/>
      <c r="I28" s="30"/>
      <c r="J28" s="30"/>
      <c r="K28" s="30"/>
      <c r="L28" s="30"/>
      <c r="M28" s="31"/>
      <c r="N28" s="31"/>
      <c r="O28" s="31"/>
      <c r="P28" s="31"/>
      <c r="Q28" s="31"/>
      <c r="R28" s="31"/>
      <c r="S28" s="31"/>
      <c r="T28" s="31"/>
      <c r="U28" s="31"/>
    </row>
    <row r="29" spans="1:21" ht="21">
      <c r="A29" s="148" t="s">
        <v>59</v>
      </c>
      <c r="B29" s="149"/>
      <c r="C29" s="149"/>
      <c r="D29" s="149"/>
      <c r="E29" s="149"/>
      <c r="F29" s="149"/>
      <c r="G29" s="150"/>
      <c r="I29" s="30"/>
      <c r="J29" s="30"/>
      <c r="K29" s="30"/>
      <c r="L29" s="30"/>
      <c r="M29" s="31"/>
      <c r="N29" s="31"/>
      <c r="O29" s="31"/>
      <c r="P29" s="31"/>
      <c r="Q29" s="31"/>
      <c r="R29" s="31"/>
      <c r="S29" s="31"/>
      <c r="T29" s="31"/>
      <c r="U29" s="31"/>
    </row>
    <row r="30" spans="1:21" ht="16.5">
      <c r="I30" s="30"/>
      <c r="J30" s="30"/>
      <c r="K30" s="30"/>
      <c r="L30" s="30"/>
      <c r="M30" s="31"/>
      <c r="N30" s="31"/>
      <c r="O30" s="31"/>
      <c r="P30" s="31"/>
      <c r="Q30" s="31"/>
      <c r="R30" s="31"/>
      <c r="S30" s="31"/>
      <c r="T30" s="31"/>
      <c r="U30" s="31"/>
    </row>
    <row r="31" spans="1:21" ht="16.5">
      <c r="A31" s="142" t="s">
        <v>1</v>
      </c>
      <c r="B31" s="142"/>
      <c r="C31" s="30"/>
      <c r="D31" s="145" t="s">
        <v>50</v>
      </c>
      <c r="E31" s="146"/>
      <c r="F31" s="147"/>
      <c r="I31" s="30"/>
      <c r="J31" s="30"/>
      <c r="K31" s="30"/>
      <c r="L31" s="30"/>
      <c r="M31" s="31"/>
      <c r="N31" s="31"/>
      <c r="O31" s="31"/>
      <c r="P31" s="31"/>
      <c r="Q31" s="31"/>
      <c r="R31" s="31"/>
      <c r="S31" s="31"/>
      <c r="T31" s="31"/>
      <c r="U31" s="31"/>
    </row>
    <row r="32" spans="1:21" ht="16.5">
      <c r="A32" s="54" t="s">
        <v>3</v>
      </c>
      <c r="B32" s="54" t="s">
        <v>4</v>
      </c>
      <c r="E32" s="35" t="s">
        <v>51</v>
      </c>
      <c r="F32" s="36" t="s">
        <v>52</v>
      </c>
      <c r="I32" s="30"/>
      <c r="J32" s="30"/>
      <c r="K32" s="30"/>
      <c r="L32" s="30"/>
      <c r="M32" s="31"/>
      <c r="N32" s="31"/>
      <c r="O32" s="31"/>
      <c r="P32" s="31"/>
      <c r="Q32" s="31"/>
      <c r="R32" s="31"/>
      <c r="S32" s="31"/>
      <c r="T32" s="31"/>
      <c r="U32" s="31"/>
    </row>
    <row r="33" spans="1:21" ht="16.5">
      <c r="A33" s="33">
        <v>0</v>
      </c>
      <c r="B33" s="32">
        <v>5.2</v>
      </c>
      <c r="C33" s="30"/>
      <c r="E33" s="32">
        <f>(B34-B33)</f>
        <v>2.8</v>
      </c>
      <c r="F33" s="32">
        <f>(E34-E33)</f>
        <v>-0.39999999999999947</v>
      </c>
      <c r="I33" s="30"/>
      <c r="J33" s="30"/>
      <c r="K33" s="30"/>
      <c r="L33" s="30"/>
      <c r="M33" s="31"/>
      <c r="N33" s="31"/>
      <c r="O33" s="31"/>
      <c r="P33" s="31"/>
      <c r="Q33" s="31"/>
      <c r="R33" s="31"/>
      <c r="S33" s="31"/>
      <c r="T33" s="31"/>
      <c r="U33" s="31"/>
    </row>
    <row r="34" spans="1:21" ht="16.5">
      <c r="A34" s="33">
        <v>1</v>
      </c>
      <c r="B34" s="32">
        <v>8</v>
      </c>
      <c r="C34" s="30"/>
      <c r="E34" s="32">
        <f>(B35-B34)</f>
        <v>2.4000000000000004</v>
      </c>
      <c r="F34" s="32">
        <f>(E35-E34)</f>
        <v>-0.40000000000000036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1" ht="16.5">
      <c r="A35" s="33">
        <v>2</v>
      </c>
      <c r="B35" s="32">
        <v>10.4</v>
      </c>
      <c r="C35" s="30"/>
      <c r="E35" s="32">
        <f>(B36-B35)</f>
        <v>2</v>
      </c>
      <c r="F35" s="32">
        <f>(E36-E35)</f>
        <v>-0.40000000000000036</v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1" ht="16.5">
      <c r="A36" s="32">
        <v>3</v>
      </c>
      <c r="B36" s="32">
        <v>12.4</v>
      </c>
      <c r="C36" s="30"/>
      <c r="E36" s="32">
        <f>(B37-B36)</f>
        <v>1.5999999999999996</v>
      </c>
      <c r="F36" s="32">
        <f>(E37-E36)</f>
        <v>-0.40000000000000036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1" ht="16.5">
      <c r="A37" s="32">
        <v>4</v>
      </c>
      <c r="B37" s="32">
        <v>14</v>
      </c>
      <c r="C37" s="30"/>
      <c r="E37" s="32">
        <f>(B38-B37)</f>
        <v>1.1999999999999993</v>
      </c>
      <c r="F37" s="32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1" ht="16.5">
      <c r="A38" s="32">
        <v>5</v>
      </c>
      <c r="B38" s="32">
        <v>15.2</v>
      </c>
      <c r="C38" s="30"/>
      <c r="D38" s="30"/>
      <c r="E38" s="30"/>
      <c r="G38" s="30"/>
      <c r="H38" s="3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ht="16.5">
      <c r="A39" s="30"/>
      <c r="B39" s="30"/>
      <c r="C39" s="30"/>
      <c r="D39" s="30"/>
      <c r="E39" s="30"/>
      <c r="G39" s="30"/>
      <c r="H39" s="3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1" ht="16.5">
      <c r="A40" s="38" t="s">
        <v>55</v>
      </c>
      <c r="B40" s="58">
        <f>A34-A33</f>
        <v>1</v>
      </c>
      <c r="C40" s="30"/>
      <c r="D40" s="30"/>
      <c r="E40" s="30"/>
      <c r="G40" s="30"/>
      <c r="H40" s="30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1" ht="16.5">
      <c r="A41" s="56"/>
      <c r="B41" s="57"/>
      <c r="C41" s="30"/>
      <c r="D41" s="30"/>
      <c r="E41" s="30"/>
      <c r="G41" s="30"/>
      <c r="H41" s="30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1" ht="16.5">
      <c r="C42" s="30"/>
      <c r="D42" s="30"/>
      <c r="E42" s="30"/>
      <c r="G42" s="30"/>
      <c r="H42" s="55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1" ht="16.5">
      <c r="A43" s="56"/>
      <c r="B43" s="57"/>
      <c r="C43" s="30"/>
      <c r="D43" s="30"/>
      <c r="E43" s="30"/>
      <c r="F43" s="30"/>
      <c r="G43" s="30"/>
      <c r="H43" s="3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1" ht="16.5">
      <c r="A44" s="30"/>
      <c r="B44" s="30"/>
      <c r="C44" s="30"/>
      <c r="D44" s="30"/>
      <c r="E44" s="30"/>
      <c r="F44" s="30"/>
      <c r="G44" s="30"/>
      <c r="H44" s="30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1:21" ht="16.5">
      <c r="A45" s="137" t="s">
        <v>60</v>
      </c>
      <c r="B45" s="137"/>
      <c r="C45" s="137"/>
      <c r="D45" s="137"/>
      <c r="E45" s="137"/>
      <c r="F45" s="137"/>
      <c r="G45" s="137"/>
      <c r="H45" s="137"/>
      <c r="I45" s="137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1" ht="16.5">
      <c r="C46" s="30"/>
      <c r="D46" s="30"/>
      <c r="E46" s="30"/>
      <c r="F46" s="30"/>
      <c r="G46" s="30"/>
      <c r="H46" s="30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1" ht="16.5">
      <c r="C47" s="30"/>
      <c r="D47" s="30"/>
      <c r="E47" s="30"/>
      <c r="F47" s="30"/>
      <c r="G47" s="30"/>
      <c r="H47" s="30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1:21" ht="16.5">
      <c r="C48" s="30"/>
      <c r="D48" s="30"/>
      <c r="E48" s="30"/>
      <c r="F48" s="30"/>
      <c r="G48" s="30"/>
      <c r="H48" s="30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1" ht="16.5">
      <c r="C49" s="45"/>
      <c r="D49" s="30"/>
      <c r="E49" s="30"/>
      <c r="F49" s="30"/>
      <c r="G49" s="30"/>
      <c r="H49" s="30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1:21" ht="16.5">
      <c r="A50" s="30"/>
      <c r="B50" s="30"/>
      <c r="C50" s="30"/>
      <c r="D50" s="30"/>
      <c r="E50" s="30"/>
      <c r="F50" s="30"/>
      <c r="G50" s="30"/>
      <c r="H50" s="30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1" ht="16.5">
      <c r="A51" s="30"/>
      <c r="B51" s="30"/>
      <c r="C51" s="30"/>
      <c r="D51" s="30"/>
      <c r="E51" s="30"/>
      <c r="F51" s="30"/>
      <c r="G51" s="30"/>
      <c r="H51" s="30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1:21" ht="16.5">
      <c r="A52" s="30"/>
      <c r="B52" s="30"/>
      <c r="C52" s="30"/>
      <c r="D52" s="30"/>
      <c r="E52" s="30"/>
      <c r="F52" s="30"/>
      <c r="G52" s="30"/>
      <c r="H52" s="30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spans="1:21" ht="16.5">
      <c r="A53" s="30"/>
      <c r="B53" s="30"/>
      <c r="C53" s="30"/>
      <c r="D53" s="30"/>
      <c r="E53" s="30"/>
      <c r="F53" s="30"/>
      <c r="G53" s="30"/>
      <c r="H53" s="30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spans="1:21" ht="16.5">
      <c r="A54" s="30"/>
      <c r="B54" s="30"/>
      <c r="C54" s="30"/>
      <c r="D54" s="30"/>
      <c r="E54" s="30"/>
      <c r="F54" s="30"/>
      <c r="G54" s="30"/>
      <c r="H54" s="30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spans="1:21" ht="16.5">
      <c r="A55" s="30"/>
      <c r="B55" s="30"/>
      <c r="C55" s="30"/>
      <c r="D55" s="30"/>
      <c r="E55" s="30"/>
      <c r="F55" s="30"/>
      <c r="G55" s="30"/>
      <c r="H55" s="30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16.5">
      <c r="A56" s="30"/>
      <c r="B56" s="30"/>
      <c r="C56" s="30"/>
      <c r="D56" s="30"/>
      <c r="E56" s="30"/>
      <c r="F56" s="30"/>
      <c r="G56" s="30"/>
      <c r="H56" s="30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spans="1:21" ht="16.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spans="1:21" ht="16.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spans="1:21" ht="16.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spans="1:21" ht="16.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</row>
    <row r="61" spans="1:21" ht="16.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</row>
    <row r="62" spans="1:21" ht="16.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</row>
    <row r="63" spans="1:21" ht="16.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spans="1:21" ht="16.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spans="1:21" ht="16.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spans="1:21" ht="16.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</row>
    <row r="67" spans="1:21" ht="16.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</row>
    <row r="68" spans="1:21" ht="16.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</row>
    <row r="69" spans="1:21" ht="16.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</row>
    <row r="70" spans="1:21" ht="16.5">
      <c r="A70" s="31"/>
      <c r="B70" s="31"/>
      <c r="C70" s="31"/>
      <c r="D70" s="31"/>
      <c r="E70" s="31"/>
      <c r="F70" s="31"/>
      <c r="G70" s="31"/>
      <c r="H70" s="31"/>
    </row>
    <row r="71" spans="1:21" ht="16.5">
      <c r="A71" s="31"/>
      <c r="B71" s="31"/>
      <c r="C71" s="31"/>
      <c r="D71" s="31"/>
      <c r="E71" s="31"/>
      <c r="F71" s="31"/>
      <c r="G71" s="31"/>
      <c r="H71" s="31"/>
    </row>
    <row r="72" spans="1:21" ht="16.5">
      <c r="A72" s="31"/>
      <c r="B72" s="31"/>
      <c r="C72" s="31"/>
      <c r="D72" s="31"/>
      <c r="E72" s="31"/>
      <c r="F72" s="31"/>
      <c r="G72" s="31"/>
      <c r="H72" s="31"/>
    </row>
    <row r="73" spans="1:21" ht="16.5">
      <c r="A73" s="31"/>
      <c r="B73" s="31"/>
      <c r="C73" s="31"/>
      <c r="D73" s="31"/>
      <c r="E73" s="31"/>
      <c r="F73" s="31"/>
      <c r="G73" s="31"/>
      <c r="H73" s="31"/>
    </row>
    <row r="74" spans="1:21" ht="16.5">
      <c r="A74" s="31"/>
      <c r="B74" s="31"/>
      <c r="C74" s="31"/>
      <c r="D74" s="31"/>
      <c r="E74" s="31"/>
      <c r="F74" s="31"/>
      <c r="G74" s="31"/>
      <c r="H74" s="31"/>
    </row>
    <row r="75" spans="1:21" ht="16.5">
      <c r="A75" s="31"/>
      <c r="B75" s="31"/>
      <c r="C75" s="31"/>
      <c r="D75" s="31"/>
      <c r="E75" s="31"/>
      <c r="F75" s="31"/>
      <c r="G75" s="31"/>
      <c r="H75" s="31"/>
    </row>
    <row r="76" spans="1:21" ht="16.5">
      <c r="A76" s="31"/>
      <c r="B76" s="31"/>
      <c r="C76" s="31"/>
      <c r="D76" s="31"/>
      <c r="E76" s="31"/>
      <c r="F76" s="31"/>
      <c r="G76" s="31"/>
      <c r="H76" s="31"/>
    </row>
    <row r="77" spans="1:21" ht="16.5">
      <c r="A77" s="31"/>
      <c r="B77" s="31"/>
      <c r="C77" s="31"/>
      <c r="D77" s="31"/>
      <c r="E77" s="31"/>
      <c r="F77" s="31"/>
      <c r="G77" s="31"/>
      <c r="H77" s="31"/>
    </row>
    <row r="78" spans="1:21" ht="16.5">
      <c r="A78" s="31"/>
      <c r="B78" s="31"/>
      <c r="C78" s="31"/>
      <c r="D78" s="31"/>
      <c r="E78" s="31"/>
      <c r="F78" s="31"/>
      <c r="G78" s="31"/>
      <c r="H78" s="31"/>
    </row>
    <row r="79" spans="1:21" ht="16.5">
      <c r="A79" s="31"/>
      <c r="B79" s="31"/>
      <c r="C79" s="31"/>
      <c r="D79" s="31"/>
      <c r="E79" s="31"/>
      <c r="F79" s="31"/>
      <c r="G79" s="31"/>
      <c r="H79" s="31"/>
    </row>
    <row r="80" spans="1:21" ht="16.5">
      <c r="A80" s="31"/>
      <c r="B80" s="31"/>
      <c r="C80" s="31"/>
      <c r="D80" s="31"/>
      <c r="E80" s="31"/>
      <c r="F80" s="31"/>
      <c r="G80" s="31"/>
      <c r="H80" s="31"/>
    </row>
    <row r="81" spans="1:8" ht="16.5">
      <c r="A81" s="31"/>
      <c r="B81" s="31"/>
      <c r="C81" s="31"/>
      <c r="D81" s="31"/>
      <c r="E81" s="31"/>
      <c r="F81" s="31"/>
      <c r="G81" s="31"/>
      <c r="H81" s="31"/>
    </row>
    <row r="82" spans="1:8" ht="16.5">
      <c r="A82" s="31"/>
      <c r="B82" s="31"/>
      <c r="C82" s="31"/>
      <c r="D82" s="31"/>
      <c r="E82" s="31"/>
      <c r="F82" s="31"/>
      <c r="G82" s="31"/>
      <c r="H82" s="31"/>
    </row>
    <row r="83" spans="1:8" ht="16.5">
      <c r="A83" s="31"/>
      <c r="B83" s="31"/>
      <c r="C83" s="31"/>
      <c r="D83" s="31"/>
      <c r="E83" s="31"/>
      <c r="F83" s="31"/>
      <c r="G83" s="31"/>
      <c r="H83" s="31"/>
    </row>
    <row r="84" spans="1:8" ht="16.5">
      <c r="A84" s="31"/>
      <c r="B84" s="31"/>
      <c r="C84" s="31"/>
      <c r="D84" s="31"/>
      <c r="E84" s="31"/>
      <c r="F84" s="31"/>
      <c r="G84" s="31"/>
      <c r="H84" s="31"/>
    </row>
    <row r="85" spans="1:8" ht="16.5">
      <c r="A85" s="31"/>
      <c r="B85" s="31"/>
      <c r="C85" s="31"/>
      <c r="D85" s="31"/>
      <c r="E85" s="31"/>
      <c r="F85" s="31"/>
      <c r="G85" s="31"/>
      <c r="H85" s="31"/>
    </row>
    <row r="86" spans="1:8" ht="16.5">
      <c r="A86" s="31"/>
      <c r="B86" s="31"/>
      <c r="C86" s="31"/>
      <c r="D86" s="31"/>
      <c r="E86" s="31"/>
      <c r="F86" s="31"/>
      <c r="G86" s="31"/>
      <c r="H86" s="31"/>
    </row>
    <row r="87" spans="1:8" ht="16.5">
      <c r="A87" s="31"/>
      <c r="B87" s="31"/>
      <c r="C87" s="31"/>
      <c r="D87" s="31"/>
      <c r="E87" s="31"/>
      <c r="F87" s="31"/>
      <c r="G87" s="31"/>
      <c r="H87" s="31"/>
    </row>
    <row r="88" spans="1:8" ht="16.5">
      <c r="A88" s="31"/>
      <c r="B88" s="31"/>
      <c r="C88" s="31"/>
      <c r="D88" s="31"/>
      <c r="E88" s="31"/>
      <c r="F88" s="31"/>
      <c r="G88" s="31"/>
      <c r="H88" s="31"/>
    </row>
    <row r="89" spans="1:8" ht="16.5">
      <c r="A89" s="31"/>
      <c r="B89" s="31"/>
      <c r="C89" s="31"/>
      <c r="D89" s="31"/>
      <c r="E89" s="31"/>
      <c r="F89" s="31"/>
      <c r="G89" s="31"/>
      <c r="H89" s="31"/>
    </row>
    <row r="90" spans="1:8" ht="16.5">
      <c r="A90" s="31"/>
      <c r="B90" s="31"/>
      <c r="C90" s="31"/>
      <c r="D90" s="31"/>
      <c r="E90" s="31"/>
      <c r="F90" s="31"/>
      <c r="G90" s="31"/>
      <c r="H90" s="31"/>
    </row>
    <row r="91" spans="1:8" ht="16.5">
      <c r="A91" s="31"/>
      <c r="B91" s="31"/>
      <c r="C91" s="31"/>
      <c r="D91" s="31"/>
      <c r="E91" s="31"/>
      <c r="F91" s="31"/>
      <c r="G91" s="31"/>
      <c r="H91" s="31"/>
    </row>
    <row r="92" spans="1:8" ht="16.5">
      <c r="A92" s="31"/>
      <c r="B92" s="31"/>
      <c r="C92" s="31"/>
      <c r="D92" s="31"/>
      <c r="E92" s="31"/>
      <c r="F92" s="31"/>
      <c r="G92" s="31"/>
      <c r="H92" s="31"/>
    </row>
  </sheetData>
  <mergeCells count="9">
    <mergeCell ref="A45:I45"/>
    <mergeCell ref="A27:B28"/>
    <mergeCell ref="A31:B31"/>
    <mergeCell ref="A1:B2"/>
    <mergeCell ref="A5:B5"/>
    <mergeCell ref="F5:H5"/>
    <mergeCell ref="A3:B3"/>
    <mergeCell ref="D31:F31"/>
    <mergeCell ref="A29:G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3BF4-7BCD-4198-B858-4F0DBC7BFD72}">
  <dimension ref="A1:V53"/>
  <sheetViews>
    <sheetView tabSelected="1" topLeftCell="A21" workbookViewId="0">
      <selection activeCell="I38" sqref="I38"/>
    </sheetView>
  </sheetViews>
  <sheetFormatPr defaultRowHeight="15"/>
  <cols>
    <col min="1" max="1" width="12.140625" customWidth="1"/>
    <col min="2" max="2" width="11.5703125" customWidth="1"/>
    <col min="10" max="10" width="9.85546875" customWidth="1"/>
  </cols>
  <sheetData>
    <row r="1" spans="1:20" ht="16.5" customHeight="1">
      <c r="A1" s="138" t="s">
        <v>61</v>
      </c>
      <c r="B1" s="139"/>
    </row>
    <row r="2" spans="1:20" ht="14.25" customHeight="1">
      <c r="A2" s="140"/>
      <c r="B2" s="141"/>
    </row>
    <row r="3" spans="1:20" ht="21" customHeight="1">
      <c r="A3" s="159" t="s">
        <v>62</v>
      </c>
      <c r="B3" s="144"/>
      <c r="C3" s="144"/>
      <c r="D3" s="144"/>
      <c r="E3" s="144"/>
      <c r="F3" s="144"/>
      <c r="G3" s="144"/>
      <c r="H3" s="144"/>
      <c r="I3" s="144"/>
    </row>
    <row r="4" spans="1:20" ht="18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</row>
    <row r="5" spans="1:20" ht="18">
      <c r="A5" s="158" t="s">
        <v>1</v>
      </c>
      <c r="B5" s="1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</row>
    <row r="6" spans="1:20" ht="21" customHeight="1">
      <c r="A6" s="62" t="s">
        <v>3</v>
      </c>
      <c r="B6" s="62" t="s">
        <v>4</v>
      </c>
      <c r="C6" s="59"/>
      <c r="D6" s="59"/>
      <c r="E6" s="59"/>
      <c r="F6" s="59"/>
      <c r="G6" s="60"/>
      <c r="H6" s="60"/>
      <c r="I6" s="59"/>
      <c r="J6" s="59"/>
      <c r="K6" s="59"/>
      <c r="L6" s="59"/>
      <c r="M6" s="59"/>
      <c r="N6" s="59"/>
      <c r="O6" s="59"/>
      <c r="P6" s="59"/>
      <c r="S6" s="63">
        <v>0</v>
      </c>
      <c r="T6" s="64">
        <v>0</v>
      </c>
    </row>
    <row r="7" spans="1:20" ht="16.5" customHeight="1">
      <c r="A7" s="63">
        <v>0</v>
      </c>
      <c r="B7" s="64">
        <v>0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S7" s="63">
        <v>1</v>
      </c>
      <c r="T7" s="64">
        <v>2</v>
      </c>
    </row>
    <row r="8" spans="1:20" ht="18.75" customHeight="1">
      <c r="A8" s="63">
        <v>1</v>
      </c>
      <c r="B8" s="64">
        <v>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S8" s="63">
        <v>2</v>
      </c>
      <c r="T8" s="64">
        <v>5</v>
      </c>
    </row>
    <row r="9" spans="1:20" ht="16.5" customHeight="1">
      <c r="A9" s="63">
        <v>2</v>
      </c>
      <c r="B9" s="64">
        <v>5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S9" s="63">
        <v>3</v>
      </c>
      <c r="T9" s="64">
        <v>10</v>
      </c>
    </row>
    <row r="10" spans="1:20" ht="17.25" customHeight="1">
      <c r="A10" s="63">
        <v>3</v>
      </c>
      <c r="B10" s="64">
        <v>10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S10" s="63">
        <v>4</v>
      </c>
      <c r="T10" s="64">
        <v>15</v>
      </c>
    </row>
    <row r="11" spans="1:20" ht="15" customHeight="1">
      <c r="A11" s="63">
        <v>4</v>
      </c>
      <c r="B11" s="64">
        <v>15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S11" s="2">
        <v>4.3</v>
      </c>
      <c r="T11" s="2">
        <f>I36</f>
        <v>16.602504674999999</v>
      </c>
    </row>
    <row r="12" spans="1:20" ht="15.75" customHeight="1">
      <c r="A12" s="65">
        <v>5</v>
      </c>
      <c r="B12" s="66">
        <v>20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S12" s="63">
        <v>5</v>
      </c>
      <c r="T12" s="64">
        <v>20</v>
      </c>
    </row>
    <row r="13" spans="1:20" ht="15.75" customHeight="1">
      <c r="A13" s="65">
        <v>6</v>
      </c>
      <c r="B13" s="66">
        <v>22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S13" s="63">
        <v>6</v>
      </c>
      <c r="T13" s="64">
        <v>22</v>
      </c>
    </row>
    <row r="14" spans="1:20" ht="16.5" customHeight="1">
      <c r="A14" s="63">
        <v>7</v>
      </c>
      <c r="B14" s="64">
        <v>24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S14" s="63">
        <v>7</v>
      </c>
      <c r="T14" s="64">
        <v>24</v>
      </c>
    </row>
    <row r="15" spans="1:20" ht="18">
      <c r="A15" s="61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</row>
    <row r="16" spans="1:20" ht="16.5" customHeight="1">
      <c r="A16" s="67" t="s">
        <v>54</v>
      </c>
      <c r="B16" s="68">
        <f>A11</f>
        <v>4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</row>
    <row r="17" spans="1:22" ht="18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22" ht="26.25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70"/>
      <c r="R18" s="70"/>
      <c r="S18" s="70"/>
      <c r="T18" s="70"/>
    </row>
    <row r="19" spans="1:22" ht="22.5" customHeight="1">
      <c r="A19" s="160" t="s">
        <v>63</v>
      </c>
      <c r="B19" s="160"/>
      <c r="C19" s="160"/>
      <c r="D19" s="160"/>
      <c r="E19" s="69"/>
      <c r="F19" s="69"/>
      <c r="G19" s="161" t="s">
        <v>64</v>
      </c>
      <c r="H19" s="161"/>
      <c r="I19" s="161"/>
      <c r="J19" s="161"/>
      <c r="K19" s="69"/>
      <c r="L19" s="69"/>
      <c r="M19" s="69"/>
      <c r="N19" s="69"/>
      <c r="O19" s="108"/>
      <c r="P19" s="108"/>
      <c r="Q19" s="108"/>
      <c r="R19" s="108"/>
      <c r="S19" s="108"/>
      <c r="T19" s="70"/>
    </row>
    <row r="20" spans="1:22" ht="19.5" customHeight="1">
      <c r="A20" s="71" t="s">
        <v>2</v>
      </c>
      <c r="B20" s="71" t="s">
        <v>3</v>
      </c>
      <c r="C20" s="71" t="s">
        <v>4</v>
      </c>
      <c r="D20" s="69"/>
      <c r="E20" s="69"/>
      <c r="F20" s="69"/>
      <c r="J20" s="69"/>
      <c r="K20" s="69"/>
      <c r="L20" s="69"/>
      <c r="M20" s="69"/>
      <c r="N20" s="69"/>
      <c r="O20" s="69"/>
      <c r="P20" s="69"/>
      <c r="Q20" s="70"/>
      <c r="R20" s="70"/>
      <c r="S20" s="70"/>
      <c r="T20" s="70"/>
    </row>
    <row r="21" spans="1:22" ht="18.75" customHeight="1">
      <c r="A21" s="72" t="s">
        <v>36</v>
      </c>
      <c r="B21" s="73" t="s">
        <v>36</v>
      </c>
      <c r="C21" s="72" t="s">
        <v>36</v>
      </c>
      <c r="D21" s="69"/>
      <c r="E21" s="69"/>
      <c r="F21" s="69"/>
      <c r="G21" s="74" t="s">
        <v>51</v>
      </c>
      <c r="H21" s="75" t="s">
        <v>52</v>
      </c>
      <c r="I21" s="75" t="s">
        <v>53</v>
      </c>
      <c r="J21" s="75" t="s">
        <v>65</v>
      </c>
      <c r="K21" s="75" t="s">
        <v>66</v>
      </c>
      <c r="L21" s="75" t="s">
        <v>67</v>
      </c>
      <c r="M21" s="69"/>
      <c r="N21" s="69"/>
      <c r="O21" s="90"/>
      <c r="P21" s="91"/>
      <c r="Q21" s="92"/>
      <c r="R21" s="92"/>
      <c r="S21" s="92"/>
      <c r="T21" s="92"/>
      <c r="U21" s="93"/>
      <c r="V21" s="94"/>
    </row>
    <row r="22" spans="1:22" ht="21.75" customHeight="1">
      <c r="A22" s="64">
        <v>-3</v>
      </c>
      <c r="B22" s="63">
        <v>1</v>
      </c>
      <c r="C22" s="64">
        <v>2</v>
      </c>
      <c r="D22" s="69"/>
      <c r="E22" s="69"/>
      <c r="F22" s="69">
        <v>-3</v>
      </c>
      <c r="G22" s="76">
        <f>(C23-C22)</f>
        <v>3</v>
      </c>
      <c r="H22" s="76">
        <f>(G23-G22)</f>
        <v>2</v>
      </c>
      <c r="I22" s="76">
        <f>H23-H22</f>
        <v>-2</v>
      </c>
      <c r="J22" s="76">
        <f>I23-I22</f>
        <v>2</v>
      </c>
      <c r="K22" s="76">
        <f>J23-J22</f>
        <v>-5</v>
      </c>
      <c r="L22" s="76">
        <f>K23-K22</f>
        <v>14</v>
      </c>
      <c r="M22" s="69"/>
      <c r="N22" s="69"/>
      <c r="O22" s="95"/>
      <c r="P22" s="69"/>
      <c r="Q22" s="70"/>
      <c r="R22" s="70"/>
      <c r="S22" s="70"/>
      <c r="T22" s="70"/>
      <c r="V22" s="96"/>
    </row>
    <row r="23" spans="1:22" ht="17.25" customHeight="1">
      <c r="A23" s="64">
        <v>-2</v>
      </c>
      <c r="B23" s="63">
        <v>2</v>
      </c>
      <c r="C23" s="64">
        <v>5</v>
      </c>
      <c r="D23" s="69"/>
      <c r="E23" s="69"/>
      <c r="F23" s="69">
        <v>-2</v>
      </c>
      <c r="G23" s="76">
        <f t="shared" ref="G23:G27" si="0">(C24-C23)</f>
        <v>5</v>
      </c>
      <c r="H23" s="76">
        <f>(G24-G23)</f>
        <v>0</v>
      </c>
      <c r="I23" s="76">
        <f>H24-H23</f>
        <v>0</v>
      </c>
      <c r="J23" s="76">
        <f>I24-I23</f>
        <v>-3</v>
      </c>
      <c r="K23" s="76">
        <f>J24-J23</f>
        <v>9</v>
      </c>
      <c r="L23" s="77" t="s">
        <v>36</v>
      </c>
      <c r="M23" s="69"/>
      <c r="N23" s="69"/>
      <c r="O23" s="95"/>
      <c r="P23" s="69"/>
      <c r="Q23" s="70"/>
      <c r="R23" s="70"/>
      <c r="S23" s="70"/>
      <c r="T23" s="70"/>
      <c r="V23" s="96"/>
    </row>
    <row r="24" spans="1:22" ht="20.25" customHeight="1">
      <c r="A24" s="64">
        <v>-1</v>
      </c>
      <c r="B24" s="63">
        <v>3</v>
      </c>
      <c r="C24" s="64">
        <v>10</v>
      </c>
      <c r="D24" s="69"/>
      <c r="E24" s="69"/>
      <c r="F24" s="69">
        <v>-1</v>
      </c>
      <c r="G24" s="76">
        <f t="shared" si="0"/>
        <v>5</v>
      </c>
      <c r="H24" s="76">
        <f>(G25-G24)</f>
        <v>0</v>
      </c>
      <c r="I24" s="76">
        <f>H25-H24</f>
        <v>-3</v>
      </c>
      <c r="J24" s="76">
        <f>I25-I24</f>
        <v>6</v>
      </c>
      <c r="K24" s="77" t="s">
        <v>36</v>
      </c>
      <c r="L24" s="77" t="s">
        <v>36</v>
      </c>
      <c r="M24" s="69"/>
      <c r="N24" s="69"/>
      <c r="O24" s="95"/>
      <c r="P24" s="69"/>
      <c r="Q24" s="70"/>
      <c r="R24" s="70"/>
      <c r="S24" s="70"/>
      <c r="T24" s="70"/>
      <c r="V24" s="96"/>
    </row>
    <row r="25" spans="1:22" ht="20.25" customHeight="1">
      <c r="A25" s="64">
        <v>0</v>
      </c>
      <c r="B25" s="63">
        <v>4</v>
      </c>
      <c r="C25" s="64">
        <v>15</v>
      </c>
      <c r="D25" s="69"/>
      <c r="E25" s="69"/>
      <c r="F25" s="69">
        <v>0</v>
      </c>
      <c r="G25" s="78">
        <f t="shared" si="0"/>
        <v>5</v>
      </c>
      <c r="H25" s="78">
        <f>(G26-G25)</f>
        <v>-3</v>
      </c>
      <c r="I25" s="78">
        <f>H26-H25</f>
        <v>3</v>
      </c>
      <c r="J25" s="77" t="s">
        <v>36</v>
      </c>
      <c r="K25" s="77" t="s">
        <v>36</v>
      </c>
      <c r="L25" s="77" t="s">
        <v>36</v>
      </c>
      <c r="M25" s="69"/>
      <c r="N25" s="69"/>
      <c r="O25" s="95"/>
      <c r="P25" s="69"/>
      <c r="Q25" s="70"/>
      <c r="R25" s="70"/>
      <c r="S25" s="70"/>
      <c r="T25" s="70"/>
      <c r="V25" s="96"/>
    </row>
    <row r="26" spans="1:22" ht="16.5" customHeight="1">
      <c r="A26" s="64">
        <v>1</v>
      </c>
      <c r="B26" s="63">
        <v>5</v>
      </c>
      <c r="C26" s="64">
        <v>20</v>
      </c>
      <c r="D26" s="69"/>
      <c r="E26" s="69"/>
      <c r="F26" s="69">
        <v>1</v>
      </c>
      <c r="G26" s="76">
        <f t="shared" si="0"/>
        <v>2</v>
      </c>
      <c r="H26" s="76">
        <f>(G27-G26)</f>
        <v>0</v>
      </c>
      <c r="I26" s="77" t="s">
        <v>36</v>
      </c>
      <c r="J26" s="79" t="s">
        <v>36</v>
      </c>
      <c r="K26" s="77" t="s">
        <v>36</v>
      </c>
      <c r="L26" s="77" t="s">
        <v>36</v>
      </c>
      <c r="M26" s="69"/>
      <c r="N26" s="69"/>
      <c r="O26" s="95"/>
      <c r="P26" s="69"/>
      <c r="Q26" s="70"/>
      <c r="R26" s="70"/>
      <c r="S26" s="70"/>
      <c r="T26" s="70"/>
      <c r="V26" s="96"/>
    </row>
    <row r="27" spans="1:22" ht="19.5" customHeight="1">
      <c r="A27" s="64">
        <v>2</v>
      </c>
      <c r="B27" s="63">
        <v>6</v>
      </c>
      <c r="C27" s="64">
        <v>22</v>
      </c>
      <c r="D27" s="69"/>
      <c r="E27" s="69"/>
      <c r="F27" s="69">
        <v>2</v>
      </c>
      <c r="G27" s="76">
        <f>(C28-C27)</f>
        <v>2</v>
      </c>
      <c r="H27" s="80" t="s">
        <v>36</v>
      </c>
      <c r="I27" s="80" t="s">
        <v>36</v>
      </c>
      <c r="J27" s="81" t="s">
        <v>36</v>
      </c>
      <c r="K27" s="80" t="s">
        <v>36</v>
      </c>
      <c r="L27" s="80" t="s">
        <v>36</v>
      </c>
      <c r="M27" s="69"/>
      <c r="N27" s="69"/>
      <c r="O27" s="97"/>
      <c r="P27" s="98"/>
      <c r="Q27" s="99"/>
      <c r="R27" s="99"/>
      <c r="S27" s="99"/>
      <c r="T27" s="99"/>
      <c r="U27" s="100"/>
      <c r="V27" s="101"/>
    </row>
    <row r="28" spans="1:22" ht="19.5" customHeight="1">
      <c r="A28" s="64">
        <v>3</v>
      </c>
      <c r="B28" s="63">
        <v>7</v>
      </c>
      <c r="C28" s="64">
        <v>24</v>
      </c>
      <c r="D28" s="69"/>
      <c r="E28" s="69"/>
      <c r="F28" s="69"/>
      <c r="G28" s="30"/>
      <c r="H28" s="30"/>
      <c r="I28" s="30"/>
      <c r="J28" s="69"/>
      <c r="K28" s="69"/>
      <c r="L28" s="69"/>
      <c r="M28" s="69"/>
      <c r="N28" s="69"/>
      <c r="O28" s="69"/>
      <c r="P28" s="69"/>
      <c r="Q28" s="70"/>
      <c r="R28" s="70"/>
      <c r="S28" s="70"/>
      <c r="T28" s="70"/>
    </row>
    <row r="29" spans="1:22" ht="18" customHeight="1">
      <c r="A29" s="69"/>
      <c r="B29" s="69"/>
      <c r="C29" s="69"/>
      <c r="D29" s="69"/>
      <c r="E29" s="69"/>
      <c r="F29" s="69"/>
      <c r="G29" s="30"/>
      <c r="H29" s="30"/>
      <c r="I29" s="30"/>
      <c r="J29" s="69"/>
      <c r="K29" s="69"/>
      <c r="L29" s="69"/>
      <c r="M29" s="69"/>
      <c r="N29" s="69"/>
      <c r="O29" s="69"/>
      <c r="P29" s="69"/>
      <c r="Q29" s="70"/>
      <c r="R29" s="70"/>
      <c r="S29" s="70"/>
      <c r="T29" s="70"/>
    </row>
    <row r="30" spans="1:22" ht="18.75" customHeight="1">
      <c r="A30" s="84" t="s">
        <v>68</v>
      </c>
      <c r="B30" s="85">
        <f>4.3-B25</f>
        <v>0.29999999999999982</v>
      </c>
      <c r="C30" s="69"/>
      <c r="D30" s="69"/>
      <c r="E30" s="69"/>
      <c r="F30" s="69"/>
      <c r="I30" s="69"/>
      <c r="J30" s="69"/>
      <c r="K30" s="69"/>
      <c r="L30" s="69"/>
      <c r="M30" s="69"/>
      <c r="N30" s="69"/>
      <c r="O30" s="69"/>
      <c r="P30" s="69"/>
      <c r="Q30" s="70"/>
      <c r="R30" s="70"/>
      <c r="S30" s="70"/>
      <c r="T30" s="70"/>
    </row>
    <row r="31" spans="1:22" ht="19.5" customHeight="1">
      <c r="A31" s="82" t="s">
        <v>55</v>
      </c>
      <c r="B31" s="83">
        <v>1</v>
      </c>
      <c r="C31" s="69"/>
      <c r="D31" s="69"/>
      <c r="E31" s="69"/>
      <c r="F31" s="69"/>
      <c r="G31" s="157" t="s">
        <v>69</v>
      </c>
      <c r="H31" s="157"/>
      <c r="I31" s="69"/>
      <c r="J31" s="69"/>
      <c r="K31" s="69"/>
      <c r="L31" s="69"/>
      <c r="M31" s="69"/>
      <c r="N31" s="69"/>
      <c r="O31" s="69"/>
      <c r="P31" s="69"/>
      <c r="Q31" s="70"/>
      <c r="R31" s="70"/>
      <c r="S31" s="70"/>
      <c r="T31" s="70"/>
    </row>
    <row r="32" spans="1:22" ht="17.25" customHeight="1">
      <c r="A32" s="87" t="s">
        <v>70</v>
      </c>
      <c r="B32" s="88">
        <f>C25</f>
        <v>15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70"/>
      <c r="R32" s="70"/>
      <c r="S32" s="70"/>
      <c r="T32" s="70"/>
    </row>
    <row r="33" spans="1:20" ht="19.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70"/>
      <c r="R33" s="70"/>
      <c r="S33" s="70"/>
      <c r="T33" s="70"/>
    </row>
    <row r="34" spans="1:20" ht="19.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70"/>
      <c r="R34" s="70"/>
      <c r="S34" s="70"/>
      <c r="T34" s="70"/>
    </row>
    <row r="35" spans="1:20" ht="19.5" customHeight="1">
      <c r="A35" s="69"/>
      <c r="B35" s="69"/>
      <c r="C35" s="69"/>
      <c r="D35" s="69"/>
      <c r="E35" s="69"/>
      <c r="F35" s="69"/>
      <c r="G35" s="89" t="s">
        <v>71</v>
      </c>
      <c r="H35" s="69"/>
      <c r="I35" s="69"/>
      <c r="J35" s="69"/>
      <c r="K35" s="69"/>
      <c r="L35" s="69"/>
      <c r="M35" s="69"/>
      <c r="N35" s="69"/>
      <c r="O35" s="69"/>
      <c r="P35" s="69"/>
      <c r="Q35" s="70"/>
      <c r="R35" s="70"/>
      <c r="S35" s="70"/>
      <c r="T35" s="70"/>
    </row>
    <row r="36" spans="1:20" ht="20.25" customHeight="1">
      <c r="A36" s="69"/>
      <c r="B36" s="69"/>
      <c r="C36" s="69"/>
      <c r="D36" s="69"/>
      <c r="E36" s="69"/>
      <c r="F36" s="69"/>
      <c r="G36" s="155" t="s">
        <v>72</v>
      </c>
      <c r="H36" s="151"/>
      <c r="I36" s="151">
        <f>B32+5*B30-(B30/4)*(B30*B30-1)-((B30*B30)/8)*(B30*B30-1)+(B30/60)*(B30*B30-1)*(B30*B30-4)+((B30*B30)/360)*(B30*B30-1)*(B30*B30-4)*7</f>
        <v>16.602504674999999</v>
      </c>
      <c r="J36" s="151"/>
      <c r="K36" s="152"/>
      <c r="L36" s="69"/>
      <c r="M36" s="69"/>
      <c r="N36" s="69"/>
      <c r="Q36" s="70"/>
      <c r="R36" s="70"/>
      <c r="S36" s="70"/>
      <c r="T36" s="70"/>
    </row>
    <row r="37" spans="1:20" ht="18.75" customHeight="1">
      <c r="A37" s="69"/>
      <c r="B37" s="69"/>
      <c r="C37" s="69"/>
      <c r="D37" s="69"/>
      <c r="E37" s="69"/>
      <c r="F37" s="69"/>
      <c r="G37" s="156"/>
      <c r="H37" s="153"/>
      <c r="I37" s="153"/>
      <c r="J37" s="153"/>
      <c r="K37" s="154"/>
      <c r="L37" s="69"/>
      <c r="M37" s="69"/>
      <c r="N37" s="69"/>
      <c r="Q37" s="70"/>
      <c r="R37" s="70"/>
      <c r="S37" s="70"/>
      <c r="T37" s="70"/>
    </row>
    <row r="38" spans="1:20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Q38" s="70"/>
      <c r="R38" s="70"/>
      <c r="S38" s="70"/>
      <c r="T38" s="70"/>
    </row>
    <row r="39" spans="1:20" ht="18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Q39" s="70"/>
      <c r="R39" s="70"/>
      <c r="S39" s="70"/>
      <c r="T39" s="70"/>
    </row>
    <row r="40" spans="1:20" ht="18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Q40" s="70"/>
      <c r="R40" s="70"/>
      <c r="S40" s="70"/>
      <c r="T40" s="70"/>
    </row>
    <row r="41" spans="1:20" ht="18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Q41" s="70"/>
      <c r="R41" s="70"/>
      <c r="S41" s="70"/>
      <c r="T41" s="70"/>
    </row>
    <row r="42" spans="1:20" ht="18.75" customHeight="1">
      <c r="A42" s="86" t="s">
        <v>73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Q42" s="70"/>
      <c r="R42" s="70"/>
      <c r="S42" s="70"/>
      <c r="T42" s="70"/>
    </row>
    <row r="43" spans="1:20" ht="17.2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Q43" s="70"/>
      <c r="R43" s="70"/>
      <c r="S43" s="70"/>
      <c r="T43" s="70"/>
    </row>
    <row r="44" spans="1:20" ht="17.2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Q44" s="70"/>
      <c r="R44" s="70"/>
      <c r="S44" s="70"/>
      <c r="T44" s="70"/>
    </row>
    <row r="45" spans="1:20" ht="1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70"/>
      <c r="R45" s="70"/>
      <c r="S45" s="70"/>
      <c r="T45" s="70"/>
    </row>
    <row r="46" spans="1:20" ht="26.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70"/>
      <c r="R46" s="70"/>
      <c r="S46" s="70"/>
      <c r="T46" s="70"/>
    </row>
    <row r="47" spans="1:20" ht="26.2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70"/>
      <c r="R47" s="70"/>
      <c r="S47" s="70"/>
      <c r="T47" s="70"/>
    </row>
    <row r="48" spans="1:20" ht="26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70"/>
      <c r="R48" s="70"/>
      <c r="S48" s="70"/>
      <c r="T48" s="70"/>
    </row>
    <row r="49" spans="1:20" ht="26.2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70"/>
      <c r="R49" s="70"/>
      <c r="S49" s="70"/>
      <c r="T49" s="70"/>
    </row>
    <row r="50" spans="1:20" ht="26.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70"/>
      <c r="R50" s="70"/>
      <c r="S50" s="70"/>
      <c r="T50" s="70"/>
    </row>
    <row r="51" spans="1:20" ht="26.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70"/>
      <c r="R51" s="70"/>
      <c r="S51" s="70"/>
      <c r="T51" s="70"/>
    </row>
    <row r="52" spans="1:20" ht="26.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70"/>
      <c r="R52" s="70"/>
      <c r="S52" s="70"/>
      <c r="T52" s="70"/>
    </row>
    <row r="53" spans="1:20" ht="24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</row>
  </sheetData>
  <mergeCells count="8">
    <mergeCell ref="I36:K37"/>
    <mergeCell ref="G36:H37"/>
    <mergeCell ref="G31:H31"/>
    <mergeCell ref="A1:B2"/>
    <mergeCell ref="A5:B5"/>
    <mergeCell ref="A3:I3"/>
    <mergeCell ref="A19:D19"/>
    <mergeCell ref="G19:J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2024-02-05T09:14:37Z</dcterms:created>
  <dcterms:modified xsi:type="dcterms:W3CDTF">2024-05-14T11:07:18Z</dcterms:modified>
  <cp:category/>
  <cp:contentStatus/>
</cp:coreProperties>
</file>