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  <sheet name="Лист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<sst xmlns="http://schemas.openxmlformats.org/spreadsheetml/2006/main" count="44" uniqueCount="31">
  <si>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n =</t>
  </si>
  <si>
    <t xml:space="preserve">a =</t>
  </si>
  <si>
    <t xml:space="preserve">x_ср =</t>
  </si>
  <si>
    <t xml:space="preserve">σ^2 =</t>
  </si>
  <si>
    <t xml:space="preserve">σ =</t>
  </si>
  <si>
    <t xml:space="preserve">γ =</t>
  </si>
  <si>
    <t xml:space="preserve">t =</t>
  </si>
  <si>
    <t xml:space="preserve">t_кр = </t>
  </si>
  <si>
    <t xml:space="preserve">a0 = </t>
  </si>
  <si>
    <t xml:space="preserve">S = </t>
  </si>
  <si>
    <t xml:space="preserve">α =</t>
  </si>
  <si>
    <t xml:space="preserve"> γ =</t>
  </si>
  <si>
    <t xml:space="preserve">t_кр =</t>
  </si>
  <si>
    <t xml:space="preserve">S^2 =</t>
  </si>
  <si>
    <t xml:space="preserve">По старой технологии</t>
  </si>
  <si>
    <t xml:space="preserve">По новой технологии</t>
  </si>
  <si>
    <t xml:space="preserve">Расходы сырья</t>
  </si>
  <si>
    <t xml:space="preserve">x_i</t>
  </si>
  <si>
    <t xml:space="preserve">y_j</t>
  </si>
  <si>
    <t xml:space="preserve">Число изделий</t>
  </si>
  <si>
    <t xml:space="preserve">n_i</t>
  </si>
  <si>
    <t xml:space="preserve">n_j</t>
  </si>
  <si>
    <t xml:space="preserve">n_x</t>
  </si>
  <si>
    <t xml:space="preserve">n_y</t>
  </si>
  <si>
    <t xml:space="preserve">(S^2)_x =</t>
  </si>
  <si>
    <t xml:space="preserve">(S^2)_y =</t>
  </si>
  <si>
    <t xml:space="preserve">y_ср =</t>
  </si>
  <si>
    <t xml:space="preserve">n_x*(S^2)_x =</t>
  </si>
  <si>
    <t xml:space="preserve">n_y*(S^2)_y =</t>
  </si>
  <si>
    <t xml:space="preserve">n_x + n_y - 2 =</t>
  </si>
  <si>
    <t xml:space="preserve">1/n_x + 1/n_y =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</si>
</sst>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2"/>
      <charset val="1"/>
    </font>
    <font>
      <sz val="12"/>
      <color rgb="FF24242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00FF"/>
        <bgColor rgb="FFFF00FF"/>
      </patternFill>
    </fill>
    <fill>
      <patternFill patternType="solid">
        <fgColor rgb="FFFF6C6C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C6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4.08"/>
    <col collapsed="false" customWidth="false" hidden="false" outlineLevel="0" max="16384" min="2" style="1" width="8.48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3" t="s">
        <v>0</v>
      </c>
      <c r="C2" s="4" t="n">
        <v>9</v>
      </c>
      <c r="D2" s="2"/>
      <c r="E2" s="3" t="s">
        <v>1</v>
      </c>
      <c r="F2" s="4" t="n">
        <v>49</v>
      </c>
    </row>
    <row r="3" customFormat="false" ht="15" hidden="false" customHeight="false" outlineLevel="0" collapsed="false">
      <c r="A3" s="2"/>
      <c r="B3" s="3" t="s">
        <v>2</v>
      </c>
      <c r="C3" s="4" t="n">
        <v>48</v>
      </c>
      <c r="D3" s="2"/>
      <c r="E3" s="2"/>
      <c r="F3" s="2"/>
    </row>
    <row r="4" customFormat="false" ht="15" hidden="false" customHeight="false" outlineLevel="0" collapsed="false">
      <c r="A4" s="2"/>
      <c r="B4" s="5" t="s">
        <v>3</v>
      </c>
      <c r="C4" s="4" t="n">
        <v>9</v>
      </c>
      <c r="D4" s="2"/>
      <c r="E4" s="2"/>
      <c r="F4" s="2"/>
    </row>
    <row r="5" customFormat="false" ht="15" hidden="false" customHeight="false" outlineLevel="0" collapsed="false">
      <c r="A5" s="2"/>
      <c r="B5" s="5" t="s">
        <v>4</v>
      </c>
      <c r="C5" s="4" t="n">
        <v>3</v>
      </c>
      <c r="D5" s="2"/>
      <c r="E5" s="2"/>
      <c r="F5" s="2"/>
    </row>
    <row r="6" customFormat="false" ht="15" hidden="false" customHeight="false" outlineLevel="0" collapsed="false">
      <c r="A6" s="2"/>
      <c r="B6" s="3" t="s">
        <v>5</v>
      </c>
      <c r="C6" s="4" t="n">
        <v>0.95</v>
      </c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2"/>
      <c r="B8" s="3" t="s">
        <v>6</v>
      </c>
      <c r="C8" s="4" t="n">
        <f aca="false">((C3-F2)*SQRT(C2))/SQRT(C4)</f>
        <v>-1</v>
      </c>
      <c r="D8" s="2"/>
      <c r="E8" s="2"/>
      <c r="F8" s="2"/>
    </row>
    <row r="9" customFormat="false" ht="15" hidden="false" customHeight="false" outlineLevel="0" collapsed="false">
      <c r="A9" s="2"/>
      <c r="B9" s="3" t="s">
        <v>7</v>
      </c>
      <c r="C9" s="4" t="n">
        <v>1.96</v>
      </c>
      <c r="D9" s="2"/>
      <c r="E9" s="2"/>
      <c r="F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4.08"/>
    <col collapsed="false" customWidth="false" hidden="false" outlineLevel="0" max="16384" min="2" style="1" width="8.48"/>
  </cols>
  <sheetData>
    <row r="1" customFormat="false" ht="15" hidden="false" customHeight="false" outlineLevel="0" collapsed="false">
      <c r="A1" s="2"/>
      <c r="B1" s="2"/>
      <c r="C1" s="2"/>
    </row>
    <row r="2" customFormat="false" ht="15" hidden="false" customHeight="false" outlineLevel="0" collapsed="false">
      <c r="A2" s="2"/>
      <c r="B2" s="3" t="s">
        <v>8</v>
      </c>
      <c r="C2" s="4" t="n">
        <v>187.5</v>
      </c>
    </row>
    <row r="3" customFormat="false" ht="15" hidden="false" customHeight="false" outlineLevel="0" collapsed="false">
      <c r="A3" s="2"/>
      <c r="B3" s="3" t="s">
        <v>2</v>
      </c>
      <c r="C3" s="4" t="n">
        <v>175</v>
      </c>
    </row>
    <row r="4" customFormat="false" ht="15" hidden="false" customHeight="false" outlineLevel="0" collapsed="false">
      <c r="A4" s="2"/>
      <c r="B4" s="3" t="s">
        <v>0</v>
      </c>
      <c r="C4" s="4" t="n">
        <v>10</v>
      </c>
    </row>
    <row r="5" customFormat="false" ht="15" hidden="false" customHeight="false" outlineLevel="0" collapsed="false">
      <c r="A5" s="2"/>
      <c r="B5" s="3" t="s">
        <v>9</v>
      </c>
      <c r="C5" s="4" t="n">
        <v>35</v>
      </c>
    </row>
    <row r="6" customFormat="false" ht="15" hidden="false" customHeight="false" outlineLevel="0" collapsed="false">
      <c r="A6" s="2"/>
      <c r="B6" s="3" t="s">
        <v>10</v>
      </c>
      <c r="C6" s="4" t="n">
        <v>0.05</v>
      </c>
    </row>
    <row r="7" customFormat="false" ht="15" hidden="false" customHeight="false" outlineLevel="0" collapsed="false">
      <c r="A7" s="2"/>
      <c r="B7" s="3" t="s">
        <v>11</v>
      </c>
      <c r="C7" s="4" t="n">
        <v>0.95</v>
      </c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2"/>
      <c r="B10" s="3" t="s">
        <v>6</v>
      </c>
      <c r="C10" s="6" t="n">
        <f aca="false">((C3-C2)*SQRT(C4))/C5</f>
        <v>-1.12938487863156</v>
      </c>
    </row>
    <row r="11" customFormat="false" ht="15" hidden="false" customHeight="false" outlineLevel="0" collapsed="false">
      <c r="A11" s="2"/>
      <c r="B11" s="3" t="s">
        <v>12</v>
      </c>
      <c r="C11" s="4" t="n">
        <v>2.26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4.08"/>
    <col collapsed="false" customWidth="false" hidden="false" outlineLevel="0" max="16384" min="2" style="1" width="8.48"/>
  </cols>
  <sheetData>
    <row r="1" customFormat="false" ht="15" hidden="false" customHeight="false" outlineLevel="0" collapsed="false">
      <c r="C1" s="2"/>
      <c r="D1" s="2"/>
    </row>
    <row r="2" customFormat="false" ht="15" hidden="false" customHeight="false" outlineLevel="0" collapsed="false">
      <c r="B2" s="3" t="s">
        <v>10</v>
      </c>
      <c r="C2" s="4" t="n">
        <v>0.1</v>
      </c>
      <c r="D2" s="2"/>
    </row>
    <row r="3" customFormat="false" ht="15" hidden="false" customHeight="false" outlineLevel="0" collapsed="false">
      <c r="B3" s="3" t="s">
        <v>11</v>
      </c>
      <c r="C3" s="4" t="n">
        <v>0.9</v>
      </c>
      <c r="D3" s="2"/>
    </row>
    <row r="4" customFormat="false" ht="15" hidden="false" customHeight="false" outlineLevel="0" collapsed="false">
      <c r="B4" s="5" t="s">
        <v>3</v>
      </c>
      <c r="C4" s="4" t="n">
        <v>0.15</v>
      </c>
      <c r="D4" s="2"/>
    </row>
    <row r="5" customFormat="false" ht="15" hidden="false" customHeight="false" outlineLevel="0" collapsed="false">
      <c r="B5" s="3" t="s">
        <v>0</v>
      </c>
      <c r="C5" s="4" t="n">
        <v>25</v>
      </c>
      <c r="D5" s="2"/>
    </row>
    <row r="6" customFormat="false" ht="15" hidden="false" customHeight="false" outlineLevel="0" collapsed="false">
      <c r="A6" s="2"/>
      <c r="B6" s="3" t="s">
        <v>13</v>
      </c>
      <c r="C6" s="4" t="n">
        <v>0.25</v>
      </c>
      <c r="D6" s="2"/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C8" s="2"/>
      <c r="D8" s="2"/>
    </row>
    <row r="9" customFormat="false" ht="15" hidden="false" customHeight="false" outlineLevel="0" collapsed="false">
      <c r="B9" s="3" t="s">
        <v>12</v>
      </c>
      <c r="C9" s="4" t="n">
        <v>15.7</v>
      </c>
      <c r="D9" s="2"/>
    </row>
    <row r="10" customFormat="false" ht="15" hidden="false" customHeight="false" outlineLevel="0" collapsed="false">
      <c r="A10" s="2"/>
      <c r="B10" s="3" t="s">
        <v>6</v>
      </c>
      <c r="C10" s="4" t="n">
        <f aca="false">((C5-1)*C6)/C4</f>
        <v>40</v>
      </c>
      <c r="D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4804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.29"/>
    <col collapsed="false" customWidth="false" hidden="false" outlineLevel="0" max="5" min="3" style="1" width="8.48"/>
    <col collapsed="false" customWidth="true" hidden="false" outlineLevel="0" max="6" min="6" style="1" width="4.42"/>
    <col collapsed="false" customWidth="true" hidden="false" outlineLevel="0" max="7" min="7" style="1" width="12.89"/>
    <col collapsed="false" customWidth="false" hidden="false" outlineLevel="0" max="16" min="8" style="1" width="8.48"/>
    <col collapsed="false" customWidth="false" hidden="false" outlineLevel="0" max="17" min="17" style="1" width="8.46"/>
    <col collapsed="false" customWidth="false" hidden="false" outlineLevel="0" max="16384" min="18" style="1" width="8.48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7" t="s">
        <v>14</v>
      </c>
      <c r="C2" s="7"/>
      <c r="D2" s="7"/>
      <c r="E2" s="7"/>
      <c r="F2" s="7" t="s">
        <v>15</v>
      </c>
      <c r="G2" s="7"/>
      <c r="H2" s="7"/>
      <c r="I2" s="7"/>
      <c r="J2" s="7"/>
    </row>
    <row r="3" customFormat="false" ht="15" hidden="false" customHeight="false" outlineLevel="0" collapsed="false">
      <c r="A3" s="8" t="s">
        <v>16</v>
      </c>
      <c r="B3" s="3" t="s">
        <v>17</v>
      </c>
      <c r="C3" s="4" t="n">
        <v>304</v>
      </c>
      <c r="D3" s="4" t="n">
        <v>307</v>
      </c>
      <c r="E3" s="4" t="n">
        <v>308</v>
      </c>
      <c r="F3" s="3" t="s">
        <v>18</v>
      </c>
      <c r="G3" s="4" t="n">
        <v>303</v>
      </c>
      <c r="H3" s="4" t="n">
        <v>304</v>
      </c>
      <c r="I3" s="4" t="n">
        <v>306</v>
      </c>
      <c r="J3" s="4" t="n">
        <v>308</v>
      </c>
    </row>
    <row r="4" customFormat="false" ht="15" hidden="false" customHeight="false" outlineLevel="0" collapsed="false">
      <c r="A4" s="8" t="s">
        <v>19</v>
      </c>
      <c r="B4" s="3" t="s">
        <v>20</v>
      </c>
      <c r="C4" s="4" t="n">
        <v>1</v>
      </c>
      <c r="D4" s="4" t="n">
        <v>4</v>
      </c>
      <c r="E4" s="4" t="n">
        <v>4</v>
      </c>
      <c r="F4" s="3" t="s">
        <v>21</v>
      </c>
      <c r="G4" s="4" t="n">
        <v>2</v>
      </c>
      <c r="H4" s="4" t="n">
        <v>6</v>
      </c>
      <c r="I4" s="4" t="n">
        <v>4</v>
      </c>
      <c r="J4" s="4" t="n">
        <v>1</v>
      </c>
    </row>
    <row r="5" customFormat="false" ht="15" hidden="false" customHeight="false" outlineLevel="0" collapsed="false">
      <c r="A5" s="2"/>
      <c r="B5" s="2" t="s">
        <v>22</v>
      </c>
      <c r="C5" s="2" t="n">
        <f aca="false">SUM(C4:E4)</f>
        <v>9</v>
      </c>
      <c r="D5" s="2"/>
      <c r="E5" s="2"/>
      <c r="F5" s="2" t="s">
        <v>23</v>
      </c>
      <c r="G5" s="2" t="n">
        <f aca="false">SUM(G4:J4)</f>
        <v>13</v>
      </c>
      <c r="H5" s="2"/>
      <c r="I5" s="2"/>
      <c r="J5" s="2"/>
      <c r="L5" s="9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L6" s="9"/>
    </row>
    <row r="7" customFormat="false" ht="15" hidden="false" customHeight="false" outlineLevel="0" collapsed="false">
      <c r="A7" s="2"/>
      <c r="B7" s="2"/>
      <c r="C7" s="4" t="s">
        <v>10</v>
      </c>
      <c r="D7" s="4" t="n">
        <v>0.1</v>
      </c>
      <c r="E7" s="2"/>
      <c r="F7" s="2"/>
      <c r="G7" s="4" t="s">
        <v>24</v>
      </c>
      <c r="H7" s="4" t="n">
        <f aca="false">SUM(POWER(C3-D8,2),POWER(D3-D8,2),POWER(E3-D8,2))/(SUM(C4:E4)-1)</f>
        <v>1.31018518518517</v>
      </c>
      <c r="I7" s="2"/>
      <c r="J7" s="2"/>
    </row>
    <row r="8" customFormat="false" ht="15" hidden="false" customHeight="false" outlineLevel="0" collapsed="false">
      <c r="A8" s="2"/>
      <c r="B8" s="2"/>
      <c r="C8" s="4" t="s">
        <v>2</v>
      </c>
      <c r="D8" s="10" t="n">
        <f aca="false">(SUM(C3*C4,D3*D4,E3*E4))/SUM(C4:E4)</f>
        <v>307.111111111111</v>
      </c>
      <c r="E8" s="2"/>
      <c r="F8" s="2"/>
      <c r="G8" s="11" t="s">
        <v>25</v>
      </c>
      <c r="H8" s="4" t="n">
        <f aca="false">SUM(POWER(G3-D9,2),POWER(H3-D9,2),POWER(I3-D9,2),POWER(J3-D9,2))/(SUM(G4:J4)-1)</f>
        <v>1.30621301775148</v>
      </c>
      <c r="I8" s="2"/>
      <c r="J8" s="2"/>
    </row>
    <row r="9" customFormat="false" ht="15" hidden="false" customHeight="false" outlineLevel="0" collapsed="false">
      <c r="A9" s="2"/>
      <c r="B9" s="2"/>
      <c r="C9" s="4" t="s">
        <v>26</v>
      </c>
      <c r="D9" s="10" t="n">
        <f aca="false">SUM(J3*J4,I3*I4,H3*H4,G3*G4)/SUM(G4:J4)</f>
        <v>304.769230769231</v>
      </c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4" t="s">
        <v>27</v>
      </c>
      <c r="H10" s="4" t="n">
        <f aca="false">SUM(C4:E4)*H7</f>
        <v>11.7916666666665</v>
      </c>
      <c r="I10" s="2"/>
      <c r="J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4" t="s">
        <v>28</v>
      </c>
      <c r="H11" s="4" t="n">
        <f aca="false">SUM(G4:J4)*H8</f>
        <v>16.9807692307692</v>
      </c>
      <c r="I11" s="2"/>
      <c r="J11" s="2"/>
    </row>
    <row r="12" customFormat="false" ht="15" hidden="false" customHeight="false" outlineLevel="0" collapsed="false">
      <c r="A12" s="2"/>
      <c r="B12" s="2"/>
      <c r="C12" s="3" t="s">
        <v>6</v>
      </c>
      <c r="D12" s="10" t="n">
        <f aca="false">(D8-D9)/(SQRT(((H10+H11)*H13)/H12))</f>
        <v>4.50269960045372</v>
      </c>
      <c r="E12" s="2"/>
      <c r="F12" s="2"/>
      <c r="G12" s="4" t="s">
        <v>29</v>
      </c>
      <c r="H12" s="4" t="n">
        <f aca="false">SUM(C4:E4)+SUM(G4:J4)-2</f>
        <v>20</v>
      </c>
      <c r="I12" s="2"/>
      <c r="J12" s="2"/>
    </row>
    <row r="13" customFormat="false" ht="15" hidden="false" customHeight="false" outlineLevel="0" collapsed="false">
      <c r="A13" s="2"/>
      <c r="B13" s="2"/>
      <c r="C13" s="3" t="s">
        <v>12</v>
      </c>
      <c r="D13" s="4" t="n">
        <v>1.72</v>
      </c>
      <c r="E13" s="2"/>
      <c r="F13" s="2"/>
      <c r="G13" s="4" t="s">
        <v>30</v>
      </c>
      <c r="H13" s="4" t="n">
        <f aca="false">(1/C5)+(1/G5)</f>
        <v>0.188034188034188</v>
      </c>
      <c r="I13" s="2"/>
      <c r="J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mergeCells count="2">
    <mergeCell ref="B2:E2"/>
    <mergeCell ref="F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2024-03-11T07:13:26Z</dcterms:created>
  <dc:creator/>
  <dc:description/>
  <dc:language>ru-RU</dc:language>
  <cp:lastModifiedBy/>
  <dcterms:modified xsi:type="dcterms:W3CDTF">2024-06-27T09:52:22Z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