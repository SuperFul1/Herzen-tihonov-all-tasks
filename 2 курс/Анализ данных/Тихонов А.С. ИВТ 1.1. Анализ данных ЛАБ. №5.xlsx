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ние 1" sheetId="1" state="visible" r:id="rId2"/>
    <sheet name="Задание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<sst xmlns="http://schemas.openxmlformats.org/spreadsheetml/2006/main" count="27" uniqueCount="26">
  <si>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Число продаж (x_i)</t>
  </si>
  <si>
    <t xml:space="preserve">Число продавцов (m_i)</t>
  </si>
  <si>
    <t xml:space="preserve">-∞ &lt; x</t>
  </si>
  <si>
    <t xml:space="preserve">9&lt;x&lt;=12</t>
  </si>
  <si>
    <t xml:space="preserve">12&lt;x&lt;=13</t>
  </si>
  <si>
    <t xml:space="preserve">13&lt;x&lt;=14</t>
  </si>
  <si>
    <t xml:space="preserve">14&lt;x&lt;=15</t>
  </si>
  <si>
    <t xml:space="preserve">15&lt;x&lt;=16</t>
  </si>
  <si>
    <t xml:space="preserve">16&lt;x&lt;=17</t>
  </si>
  <si>
    <t xml:space="preserve">17&lt;x&lt;=19</t>
  </si>
  <si>
    <t xml:space="preserve">19&lt;x&lt;=21</t>
  </si>
  <si>
    <t xml:space="preserve">21&lt;x&lt;=23</t>
  </si>
  <si>
    <t xml:space="preserve">23&lt;x&lt;=27</t>
  </si>
  <si>
    <t xml:space="preserve">27&lt;x&lt;=∞</t>
  </si>
  <si>
    <t xml:space="preserve">Интервалы расходов</t>
  </si>
  <si>
    <t xml:space="preserve">100-300</t>
  </si>
  <si>
    <t xml:space="preserve">300-500</t>
  </si>
  <si>
    <t xml:space="preserve">500-700</t>
  </si>
  <si>
    <t xml:space="preserve">700-900</t>
  </si>
  <si>
    <t xml:space="preserve">900-1100</t>
  </si>
  <si>
    <t xml:space="preserve">1100-1300</t>
  </si>
  <si>
    <t xml:space="preserve">Число покупателей (m_i)</t>
  </si>
  <si>
    <t xml:space="preserve">Доля покупателей (w_i)</t>
  </si>
  <si>
    <t xml:space="preserve">x</t>
  </si>
  <si>
    <t xml:space="preserve">1300&lt; x &lt; ∞</t>
  </si>
  <si>
    <t xml:space="preserve">Fn(x)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</si>
</sst>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0.000"/>
    <numFmt numFmtId="168" formatCode="0.000_ ;\-0.000\ "/>
  </numFmts>
  <fonts count="7">
    <font>
      <sz val="11"/>
      <color rgb="FF000000"/>
      <name val="Aptos Narrow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az-Cyrl-AZ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az-Cyrl-AZ" sz="1400" spc="-1" strike="noStrike">
                <a:solidFill>
                  <a:srgbClr val="595959"/>
                </a:solidFill>
                <a:latin typeface="Calibri"/>
              </a:rPr>
              <a:t>Эмпирическая функция распределения</a:t>
            </a:r>
          </a:p>
        </c:rich>
      </c:tx>
      <c:overlay val="0"/>
      <c:spPr>
        <a:noFill/>
        <a:ln w="2556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595959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'Задание 1'!$B$5:$M$5</c:f>
              <c:numCache>
                <c:formatCode>General</c:formatCode>
                <c:ptCount val="12"/>
              </c:numCache>
            </c:numRef>
          </c:xVal>
          <c:yVal>
            <c:numRef>
              <c:f>'Задание 1'!$B$6:$M$6</c:f>
              <c:numCache>
                <c:formatCode>General</c:formatCode>
                <c:ptCount val="12"/>
                <c:pt idx="0">
                  <c:v>0</c:v>
                </c:pt>
                <c:pt idx="1">
                  <c:v>0.0384615384615385</c:v>
                </c:pt>
                <c:pt idx="2">
                  <c:v>0.115384615384615</c:v>
                </c:pt>
                <c:pt idx="3">
                  <c:v>0.230769230769231</c:v>
                </c:pt>
                <c:pt idx="4">
                  <c:v>0.461538461538462</c:v>
                </c:pt>
                <c:pt idx="5">
                  <c:v>0.653846153846154</c:v>
                </c:pt>
                <c:pt idx="6">
                  <c:v>0.769230769230769</c:v>
                </c:pt>
                <c:pt idx="7">
                  <c:v>0.846153846153846</c:v>
                </c:pt>
                <c:pt idx="8">
                  <c:v>0.884615384615385</c:v>
                </c:pt>
                <c:pt idx="9">
                  <c:v>0.923076923076923</c:v>
                </c:pt>
                <c:pt idx="10">
                  <c:v>0.961538461538462</c:v>
                </c:pt>
                <c:pt idx="11">
                  <c:v>1</c:v>
                </c:pt>
              </c:numCache>
            </c:numRef>
          </c:yVal>
          <c:smooth val="0"/>
        </c:ser>
        <c:axId val="25528543"/>
        <c:axId val="97772671"/>
      </c:scatterChart>
      <c:valAx>
        <c:axId val="255285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772671"/>
        <c:crossesAt val="0"/>
        <c:crossBetween val="midCat"/>
      </c:valAx>
      <c:valAx>
        <c:axId val="977726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528543"/>
        <c:crossesAt val="0"/>
        <c:crossBetween val="midCat"/>
      </c:valAx>
      <c:spPr>
        <a:noFill/>
        <a:ln w="0">
          <a:noFill/>
        </a:ln>
      </c:spPr>
    </c:plotArea>
    <c:plotVisOnly val="1"/>
    <c:dispBlanksAs val="span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az-Cyrl-AZ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az-Cyrl-AZ" sz="1400" spc="-1" strike="noStrike">
                <a:solidFill>
                  <a:srgbClr val="595959"/>
                </a:solidFill>
                <a:latin typeface="Calibri"/>
              </a:rPr>
              <a:t>Эмпирическая функция распределения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'Задание 2'!$A$8:$A$8</c:f>
              <c:strCache>
                <c:ptCount val="1"/>
                <c:pt idx="0">
                  <c:v>Fn(x)</c:v>
                </c:pt>
              </c:strCache>
            </c:strRef>
          </c:tx>
          <c:spPr>
            <a:solidFill>
              <a:srgbClr val="ff0000"/>
            </a:solidFill>
            <a:ln cap="rnd" w="28800">
              <a:solidFill>
                <a:srgbClr val="ff0000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'Задание 2'!$B$7:$H$7</c:f>
              <c:numCache>
                <c:formatCode>General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</c:numCache>
            </c:numRef>
          </c:xVal>
          <c:yVal>
            <c:numRef>
              <c:f>'Задание 2'!$B$8:$H$8</c:f>
              <c:numCache>
                <c:formatCode>General</c:formatCode>
                <c:ptCount val="7"/>
                <c:pt idx="0">
                  <c:v>0</c:v>
                </c:pt>
                <c:pt idx="1">
                  <c:v>0.16304347826087</c:v>
                </c:pt>
                <c:pt idx="2">
                  <c:v>0.369565217391304</c:v>
                </c:pt>
                <c:pt idx="3">
                  <c:v>0.641304347826087</c:v>
                </c:pt>
                <c:pt idx="4">
                  <c:v>0.809782608695652</c:v>
                </c:pt>
                <c:pt idx="5">
                  <c:v>0.929347826086957</c:v>
                </c:pt>
                <c:pt idx="6">
                  <c:v>1</c:v>
                </c:pt>
              </c:numCache>
            </c:numRef>
          </c:yVal>
          <c:smooth val="0"/>
        </c:ser>
        <c:axId val="39827335"/>
        <c:axId val="84830031"/>
      </c:scatterChart>
      <c:valAx>
        <c:axId val="398273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830031"/>
        <c:crossesAt val="0"/>
        <c:crossBetween val="midCat"/>
      </c:valAx>
      <c:valAx>
        <c:axId val="848300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827335"/>
        <c:crossesAt val="0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span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30600</xdr:colOff>
      <xdr:row>7</xdr:row>
      <xdr:rowOff>24480</xdr:rowOff>
    </xdr:from>
    <xdr:to>
      <xdr:col>9</xdr:col>
      <xdr:colOff>96480</xdr:colOff>
      <xdr:row>23</xdr:row>
      <xdr:rowOff>166680</xdr:rowOff>
    </xdr:to>
    <xdr:graphicFrame>
      <xdr:nvGraphicFramePr>
        <xdr:cNvPr id="0" name="Диаграмма 5"/>
        <xdr:cNvGraphicFramePr/>
      </xdr:nvGraphicFramePr>
      <xdr:xfrm>
        <a:off x="1596600" y="1357920"/>
        <a:ext cx="5450760" cy="319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6840</xdr:colOff>
      <xdr:row>9</xdr:row>
      <xdr:rowOff>27000</xdr:rowOff>
    </xdr:from>
    <xdr:to>
      <xdr:col>7</xdr:col>
      <xdr:colOff>863280</xdr:colOff>
      <xdr:row>28</xdr:row>
      <xdr:rowOff>55080</xdr:rowOff>
    </xdr:to>
    <xdr:graphicFrame>
      <xdr:nvGraphicFramePr>
        <xdr:cNvPr id="1" name="Диаграмма 1"/>
        <xdr:cNvGraphicFramePr/>
      </xdr:nvGraphicFramePr>
      <xdr:xfrm>
        <a:off x="1657080" y="1741680"/>
        <a:ext cx="5015880" cy="364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19.73"/>
    <col collapsed="false" customWidth="false" hidden="false" outlineLevel="0" max="16384" min="2" style="2" width="8.48"/>
  </cols>
  <sheetData>
    <row r="2" customFormat="false" ht="15" hidden="false" customHeight="false" outlineLevel="0" collapsed="false">
      <c r="A2" s="3" t="s">
        <v>0</v>
      </c>
      <c r="B2" s="4" t="n">
        <v>9</v>
      </c>
      <c r="C2" s="4" t="n">
        <v>12</v>
      </c>
      <c r="D2" s="4" t="n">
        <v>13</v>
      </c>
      <c r="E2" s="4" t="n">
        <v>14</v>
      </c>
      <c r="F2" s="4" t="n">
        <v>15</v>
      </c>
      <c r="G2" s="4" t="n">
        <v>16</v>
      </c>
      <c r="H2" s="4" t="n">
        <v>17</v>
      </c>
      <c r="I2" s="4" t="n">
        <v>19</v>
      </c>
      <c r="J2" s="4" t="n">
        <v>21</v>
      </c>
      <c r="K2" s="4" t="n">
        <v>23</v>
      </c>
      <c r="L2" s="4" t="n">
        <v>27</v>
      </c>
      <c r="M2" s="1"/>
    </row>
    <row r="3" customFormat="false" ht="15" hidden="false" customHeight="false" outlineLevel="0" collapsed="false">
      <c r="A3" s="3" t="s">
        <v>1</v>
      </c>
      <c r="B3" s="4" t="n">
        <v>1</v>
      </c>
      <c r="C3" s="4" t="n">
        <v>2</v>
      </c>
      <c r="D3" s="4" t="n">
        <v>3</v>
      </c>
      <c r="E3" s="4" t="n">
        <v>6</v>
      </c>
      <c r="F3" s="4" t="n">
        <v>5</v>
      </c>
      <c r="G3" s="4" t="n">
        <v>3</v>
      </c>
      <c r="H3" s="4" t="n">
        <v>2</v>
      </c>
      <c r="I3" s="4" t="n">
        <v>1</v>
      </c>
      <c r="J3" s="4" t="n">
        <v>1</v>
      </c>
      <c r="K3" s="4" t="n">
        <v>1</v>
      </c>
      <c r="L3" s="4" t="n">
        <v>1</v>
      </c>
      <c r="M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7" t="s">
        <v>13</v>
      </c>
    </row>
    <row r="6" customFormat="false" ht="15" hidden="false" customHeight="false" outlineLevel="0" collapsed="false">
      <c r="B6" s="8" t="n">
        <v>0</v>
      </c>
      <c r="C6" s="9" t="n">
        <f aca="false">B3/SUM($B$3:$L$3)</f>
        <v>0.0384615384615385</v>
      </c>
      <c r="D6" s="9" t="n">
        <f aca="false">(B3+C3)/SUM($B$3:$L$3)</f>
        <v>0.115384615384615</v>
      </c>
      <c r="E6" s="9" t="n">
        <f aca="false">(B3+C3+D3)/SUM($B$3:$L$3)</f>
        <v>0.230769230769231</v>
      </c>
      <c r="F6" s="9" t="n">
        <f aca="false">(B3+C3+D3+E3)/SUM($B$3:$L$3)</f>
        <v>0.461538461538462</v>
      </c>
      <c r="G6" s="9" t="n">
        <f aca="false">(B3+C3+D3+E3+F3)/SUM($B$3:$L$3)</f>
        <v>0.653846153846154</v>
      </c>
      <c r="H6" s="9" t="n">
        <f aca="false">(B3+C3+D3+E3+F3+G3)/SUM($B$3:$L$3)</f>
        <v>0.769230769230769</v>
      </c>
      <c r="I6" s="9" t="n">
        <f aca="false">(B3+C3+D3+E3+F3+G3+H3)/SUM($B$3:$L$3)</f>
        <v>0.846153846153846</v>
      </c>
      <c r="J6" s="9" t="n">
        <f aca="false">(B3+C3+D3+E3+F3+G3+H3+I3)/SUM($B$3:$L$3)</f>
        <v>0.884615384615385</v>
      </c>
      <c r="K6" s="9" t="n">
        <f aca="false">(B3+C3+D3+E3+F3+G3+H3+I3+J3)/SUM($B$3:$L$3)</f>
        <v>0.923076923076923</v>
      </c>
      <c r="L6" s="9" t="n">
        <f aca="false">(B3+C3+D3+E3+F3+G3+H3+I3+J3+K3)/SUM($B$3:$L$3)</f>
        <v>0.961538461538462</v>
      </c>
      <c r="M6" s="8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20.79"/>
    <col collapsed="false" customWidth="false" hidden="false" outlineLevel="0" max="6" min="2" style="2" width="8.48"/>
    <col collapsed="false" customWidth="true" hidden="false" outlineLevel="0" max="7" min="7" style="1" width="10"/>
    <col collapsed="false" customWidth="true" hidden="false" outlineLevel="0" max="8" min="8" style="1" width="11"/>
    <col collapsed="false" customWidth="false" hidden="false" outlineLevel="0" max="16384" min="9" style="2" width="8.48"/>
  </cols>
  <sheetData>
    <row r="2" customFormat="false" ht="15" hidden="false" customHeight="false" outlineLevel="0" collapsed="false">
      <c r="A2" s="10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</row>
    <row r="3" customFormat="false" ht="15" hidden="false" customHeight="false" outlineLevel="0" collapsed="false">
      <c r="A3" s="10" t="s">
        <v>21</v>
      </c>
      <c r="B3" s="4" t="n">
        <v>30</v>
      </c>
      <c r="C3" s="4" t="n">
        <v>38</v>
      </c>
      <c r="D3" s="4" t="n">
        <v>50</v>
      </c>
      <c r="E3" s="4" t="n">
        <v>31</v>
      </c>
      <c r="F3" s="4" t="n">
        <v>22</v>
      </c>
      <c r="G3" s="4" t="n">
        <v>13</v>
      </c>
    </row>
    <row r="4" customFormat="false" ht="15" hidden="false" customHeight="false" outlineLevel="0" collapsed="false">
      <c r="A4" s="10" t="s">
        <v>22</v>
      </c>
      <c r="B4" s="12" t="n">
        <v>0.163</v>
      </c>
      <c r="C4" s="12" t="n">
        <v>0.207</v>
      </c>
      <c r="D4" s="12" t="n">
        <v>0.272</v>
      </c>
      <c r="E4" s="12" t="n">
        <v>0.168</v>
      </c>
      <c r="F4" s="12" t="n">
        <v>0.12</v>
      </c>
      <c r="G4" s="12" t="n">
        <v>0.07</v>
      </c>
    </row>
    <row r="5" customFormat="false" ht="15" hidden="false" customHeight="false" outlineLevel="0" collapsed="false">
      <c r="B5" s="1"/>
      <c r="C5" s="1"/>
      <c r="D5" s="1"/>
      <c r="E5" s="1"/>
      <c r="F5" s="1"/>
    </row>
    <row r="6" customFormat="false" ht="15" hidden="false" customHeight="false" outlineLevel="0" collapsed="false">
      <c r="B6" s="1"/>
      <c r="C6" s="1"/>
      <c r="D6" s="1"/>
      <c r="E6" s="1"/>
      <c r="F6" s="1"/>
    </row>
    <row r="7" customFormat="false" ht="15" hidden="false" customHeight="false" outlineLevel="0" collapsed="false">
      <c r="A7" s="3" t="s">
        <v>23</v>
      </c>
      <c r="B7" s="5" t="s">
        <v>2</v>
      </c>
      <c r="C7" s="6" t="n">
        <v>300</v>
      </c>
      <c r="D7" s="6" t="n">
        <v>500</v>
      </c>
      <c r="E7" s="6" t="n">
        <v>700</v>
      </c>
      <c r="F7" s="6" t="n">
        <v>900</v>
      </c>
      <c r="G7" s="6" t="n">
        <v>1100</v>
      </c>
      <c r="H7" s="6" t="s">
        <v>24</v>
      </c>
    </row>
    <row r="8" customFormat="false" ht="15" hidden="false" customHeight="false" outlineLevel="0" collapsed="false">
      <c r="A8" s="3" t="s">
        <v>25</v>
      </c>
      <c r="B8" s="4" t="n">
        <v>0</v>
      </c>
      <c r="C8" s="13" t="n">
        <f aca="false">(B3)/SUM($B$3:$G$3)</f>
        <v>0.16304347826087</v>
      </c>
      <c r="D8" s="13" t="n">
        <f aca="false">(B3+C3)/SUM($B$3:$G$3)</f>
        <v>0.369565217391304</v>
      </c>
      <c r="E8" s="13" t="n">
        <f aca="false">(B3+C3+D3)/SUM($B$3:$G$3)</f>
        <v>0.641304347826087</v>
      </c>
      <c r="F8" s="13" t="n">
        <f aca="false">(B3+C3+D3+E3)/SUM($B$3:$G$3)</f>
        <v>0.809782608695652</v>
      </c>
      <c r="G8" s="13" t="n">
        <f aca="false">(B3+C3+D3+E3+F3)/SUM($B$3:$G$3)</f>
        <v>0.929347826086957</v>
      </c>
      <c r="H8" s="13" t="n">
        <f aca="false">(B3+C3+D3+E3+F3+G3)/SUM($B$3:$G$3)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2024-02-12T07:01:07Z</dcterms:created>
  <dc:creator/>
  <dc:description/>
  <dc:language>ru-RU</dc:language>
  <cp:lastModifiedBy/>
  <dcterms:modified xsi:type="dcterms:W3CDTF">2024-06-27T02:13:40Z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